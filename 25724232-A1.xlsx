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charts/chart8.xml" ContentType="application/vnd.openxmlformats-officedocument.drawingml.chart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drawings/drawing16.xml" ContentType="application/vnd.openxmlformats-officedocument.drawingml.chartshapes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OneDrive - UTS\Documents\UTS Sem 2\Data Visulization\"/>
    </mc:Choice>
  </mc:AlternateContent>
  <xr:revisionPtr revIDLastSave="0" documentId="13_ncr:1_{2B73F288-D15F-4280-9DDB-D7CE4A8EA2AE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Price History" sheetId="1" r:id="rId1"/>
    <sheet name="Close vs Volume" sheetId="2" r:id="rId2"/>
    <sheet name="Stock Chart" sheetId="3" r:id="rId3"/>
    <sheet name="Capital Vs Share Price" sheetId="4" r:id="rId4"/>
    <sheet name="PE" sheetId="6" r:id="rId5"/>
    <sheet name="Dividend Yield" sheetId="14" r:id="rId6"/>
    <sheet name="Yearly Portfolio" sheetId="7" r:id="rId7"/>
    <sheet name="SIngle Trade" sheetId="9" r:id="rId8"/>
    <sheet name="Multiple Trade" sheetId="13" r:id="rId9"/>
  </sheets>
  <externalReferences>
    <externalReference r:id="rId10"/>
  </externalReferences>
  <definedNames>
    <definedName name="_xlnm._FilterDatabase" localSheetId="0" hidden="1">'Price History'!$C$1:$C$254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9" l="1"/>
  <c r="L25" i="9"/>
  <c r="K25" i="9"/>
  <c r="L24" i="9"/>
  <c r="K24" i="9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" i="14"/>
  <c r="C2" i="14"/>
  <c r="P17" i="13"/>
  <c r="Q17" i="13" s="1"/>
  <c r="Q16" i="13"/>
  <c r="P16" i="13"/>
  <c r="P15" i="13"/>
  <c r="Q15" i="13" s="1"/>
  <c r="P14" i="13"/>
  <c r="Q14" i="13" s="1"/>
  <c r="Q13" i="13"/>
  <c r="P13" i="13"/>
  <c r="P12" i="13"/>
  <c r="Q12" i="13" s="1"/>
  <c r="P11" i="13"/>
  <c r="Q11" i="13" s="1"/>
  <c r="Q10" i="13"/>
  <c r="P10" i="13"/>
  <c r="P9" i="13"/>
  <c r="Q9" i="13" s="1"/>
  <c r="P8" i="13"/>
  <c r="Q8" i="13" s="1"/>
  <c r="I11" i="9"/>
  <c r="I13" i="9" s="1"/>
  <c r="C254" i="7"/>
  <c r="M2" i="1"/>
  <c r="L2" i="1"/>
  <c r="G8" i="7"/>
  <c r="G9" i="7" s="1"/>
  <c r="C11" i="7" s="1"/>
  <c r="H2" i="7"/>
  <c r="I12" i="9" l="1"/>
  <c r="I14" i="9" s="1"/>
  <c r="I15" i="9" s="1"/>
  <c r="C244" i="7"/>
  <c r="C142" i="7"/>
  <c r="C59" i="7"/>
  <c r="C37" i="7"/>
  <c r="C223" i="7"/>
  <c r="C160" i="7"/>
  <c r="C119" i="7"/>
  <c r="C79" i="7"/>
  <c r="C36" i="7"/>
  <c r="C240" i="7"/>
  <c r="D240" i="7" s="1"/>
  <c r="C220" i="7"/>
  <c r="D220" i="7" s="1"/>
  <c r="C201" i="7"/>
  <c r="C179" i="7"/>
  <c r="C157" i="7"/>
  <c r="C139" i="7"/>
  <c r="C118" i="7"/>
  <c r="C96" i="7"/>
  <c r="C76" i="7"/>
  <c r="C57" i="7"/>
  <c r="C35" i="7"/>
  <c r="C13" i="7"/>
  <c r="C203" i="7"/>
  <c r="D203" i="7" s="1"/>
  <c r="C81" i="7"/>
  <c r="D81" i="7" s="1"/>
  <c r="C202" i="7"/>
  <c r="C141" i="7"/>
  <c r="C58" i="7"/>
  <c r="C239" i="7"/>
  <c r="C199" i="7"/>
  <c r="C178" i="7"/>
  <c r="C156" i="7"/>
  <c r="C117" i="7"/>
  <c r="C95" i="7"/>
  <c r="C73" i="7"/>
  <c r="C55" i="7"/>
  <c r="D55" i="7" s="1"/>
  <c r="C34" i="7"/>
  <c r="D34" i="7" s="1"/>
  <c r="C12" i="7"/>
  <c r="C120" i="7"/>
  <c r="C241" i="7"/>
  <c r="C180" i="7"/>
  <c r="C97" i="7"/>
  <c r="C16" i="7"/>
  <c r="C217" i="7"/>
  <c r="C136" i="7"/>
  <c r="C238" i="7"/>
  <c r="C216" i="7"/>
  <c r="C196" i="7"/>
  <c r="D196" i="7" s="1"/>
  <c r="C177" i="7"/>
  <c r="D177" i="7" s="1"/>
  <c r="C155" i="7"/>
  <c r="C133" i="7"/>
  <c r="C115" i="7"/>
  <c r="C94" i="7"/>
  <c r="C72" i="7"/>
  <c r="C52" i="7"/>
  <c r="C33" i="7"/>
  <c r="C14" i="7"/>
  <c r="C26" i="7"/>
  <c r="C38" i="7"/>
  <c r="C50" i="7"/>
  <c r="D50" i="7" s="1"/>
  <c r="C62" i="7"/>
  <c r="D62" i="7" s="1"/>
  <c r="C74" i="7"/>
  <c r="C86" i="7"/>
  <c r="C98" i="7"/>
  <c r="C110" i="7"/>
  <c r="C122" i="7"/>
  <c r="C134" i="7"/>
  <c r="C146" i="7"/>
  <c r="C158" i="7"/>
  <c r="C170" i="7"/>
  <c r="C182" i="7"/>
  <c r="C194" i="7"/>
  <c r="D194" i="7" s="1"/>
  <c r="C206" i="7"/>
  <c r="D206" i="7" s="1"/>
  <c r="C218" i="7"/>
  <c r="C230" i="7"/>
  <c r="C242" i="7"/>
  <c r="C3" i="7"/>
  <c r="C15" i="7"/>
  <c r="C27" i="7"/>
  <c r="C39" i="7"/>
  <c r="C51" i="7"/>
  <c r="C63" i="7"/>
  <c r="C75" i="7"/>
  <c r="D75" i="7" s="1"/>
  <c r="C87" i="7"/>
  <c r="D87" i="7" s="1"/>
  <c r="C99" i="7"/>
  <c r="C111" i="7"/>
  <c r="C123" i="7"/>
  <c r="C135" i="7"/>
  <c r="C147" i="7"/>
  <c r="C159" i="7"/>
  <c r="C171" i="7"/>
  <c r="C183" i="7"/>
  <c r="C195" i="7"/>
  <c r="C207" i="7"/>
  <c r="C219" i="7"/>
  <c r="D219" i="7" s="1"/>
  <c r="C231" i="7"/>
  <c r="D231" i="7" s="1"/>
  <c r="C243" i="7"/>
  <c r="C2" i="7"/>
  <c r="G2" i="7" s="1"/>
  <c r="D11" i="7" s="1"/>
  <c r="H7" i="7"/>
  <c r="C5" i="7"/>
  <c r="C17" i="7"/>
  <c r="C29" i="7"/>
  <c r="C41" i="7"/>
  <c r="C53" i="7"/>
  <c r="C65" i="7"/>
  <c r="C77" i="7"/>
  <c r="C89" i="7"/>
  <c r="D89" i="7" s="1"/>
  <c r="C101" i="7"/>
  <c r="D101" i="7" s="1"/>
  <c r="C113" i="7"/>
  <c r="C125" i="7"/>
  <c r="D125" i="7" s="1"/>
  <c r="C137" i="7"/>
  <c r="C149" i="7"/>
  <c r="C161" i="7"/>
  <c r="C173" i="7"/>
  <c r="C185" i="7"/>
  <c r="C197" i="7"/>
  <c r="C209" i="7"/>
  <c r="D209" i="7" s="1"/>
  <c r="C221" i="7"/>
  <c r="C233" i="7"/>
  <c r="D233" i="7" s="1"/>
  <c r="C245" i="7"/>
  <c r="D245" i="7" s="1"/>
  <c r="C6" i="7"/>
  <c r="C18" i="7"/>
  <c r="D18" i="7" s="1"/>
  <c r="C30" i="7"/>
  <c r="C42" i="7"/>
  <c r="C54" i="7"/>
  <c r="C66" i="7"/>
  <c r="C78" i="7"/>
  <c r="C90" i="7"/>
  <c r="C102" i="7"/>
  <c r="D102" i="7" s="1"/>
  <c r="C114" i="7"/>
  <c r="C126" i="7"/>
  <c r="D126" i="7" s="1"/>
  <c r="C138" i="7"/>
  <c r="D138" i="7" s="1"/>
  <c r="C150" i="7"/>
  <c r="C162" i="7"/>
  <c r="D162" i="7" s="1"/>
  <c r="C174" i="7"/>
  <c r="C186" i="7"/>
  <c r="C198" i="7"/>
  <c r="C210" i="7"/>
  <c r="C222" i="7"/>
  <c r="C234" i="7"/>
  <c r="C246" i="7"/>
  <c r="D246" i="7" s="1"/>
  <c r="C8" i="7"/>
  <c r="C20" i="7"/>
  <c r="D20" i="7" s="1"/>
  <c r="C32" i="7"/>
  <c r="D32" i="7" s="1"/>
  <c r="C44" i="7"/>
  <c r="C56" i="7"/>
  <c r="D56" i="7" s="1"/>
  <c r="C68" i="7"/>
  <c r="D68" i="7" s="1"/>
  <c r="C80" i="7"/>
  <c r="C92" i="7"/>
  <c r="D92" i="7" s="1"/>
  <c r="C104" i="7"/>
  <c r="C116" i="7"/>
  <c r="C128" i="7"/>
  <c r="C140" i="7"/>
  <c r="D140" i="7" s="1"/>
  <c r="C152" i="7"/>
  <c r="C164" i="7"/>
  <c r="D164" i="7" s="1"/>
  <c r="C176" i="7"/>
  <c r="D176" i="7" s="1"/>
  <c r="C188" i="7"/>
  <c r="C200" i="7"/>
  <c r="D200" i="7" s="1"/>
  <c r="C212" i="7"/>
  <c r="D212" i="7" s="1"/>
  <c r="C224" i="7"/>
  <c r="C236" i="7"/>
  <c r="D236" i="7" s="1"/>
  <c r="C248" i="7"/>
  <c r="C237" i="7"/>
  <c r="C215" i="7"/>
  <c r="C175" i="7"/>
  <c r="D175" i="7" s="1"/>
  <c r="C154" i="7"/>
  <c r="C71" i="7"/>
  <c r="D71" i="7" s="1"/>
  <c r="C49" i="7"/>
  <c r="D49" i="7" s="1"/>
  <c r="C31" i="7"/>
  <c r="C10" i="7"/>
  <c r="D10" i="7" s="1"/>
  <c r="C112" i="7"/>
  <c r="D112" i="7" s="1"/>
  <c r="C192" i="7"/>
  <c r="C109" i="7"/>
  <c r="D109" i="7" s="1"/>
  <c r="C28" i="7"/>
  <c r="C163" i="7"/>
  <c r="C132" i="7"/>
  <c r="C253" i="7"/>
  <c r="D253" i="7" s="1"/>
  <c r="C214" i="7"/>
  <c r="C172" i="7"/>
  <c r="D172" i="7" s="1"/>
  <c r="C131" i="7"/>
  <c r="D131" i="7" s="1"/>
  <c r="C91" i="7"/>
  <c r="C48" i="7"/>
  <c r="D48" i="7" s="1"/>
  <c r="C252" i="7"/>
  <c r="D252" i="7" s="1"/>
  <c r="C213" i="7"/>
  <c r="C191" i="7"/>
  <c r="D191" i="7" s="1"/>
  <c r="C151" i="7"/>
  <c r="C108" i="7"/>
  <c r="C69" i="7"/>
  <c r="C47" i="7"/>
  <c r="D47" i="7" s="1"/>
  <c r="C7" i="7"/>
  <c r="C181" i="7"/>
  <c r="D181" i="7" s="1"/>
  <c r="C19" i="7"/>
  <c r="D19" i="7" s="1"/>
  <c r="C193" i="7"/>
  <c r="C93" i="7"/>
  <c r="D93" i="7" s="1"/>
  <c r="C235" i="7"/>
  <c r="D235" i="7" s="1"/>
  <c r="C153" i="7"/>
  <c r="C70" i="7"/>
  <c r="D70" i="7" s="1"/>
  <c r="C9" i="7"/>
  <c r="C232" i="7"/>
  <c r="C169" i="7"/>
  <c r="C130" i="7"/>
  <c r="D130" i="7" s="1"/>
  <c r="C88" i="7"/>
  <c r="C25" i="7"/>
  <c r="D25" i="7" s="1"/>
  <c r="C251" i="7"/>
  <c r="D251" i="7" s="1"/>
  <c r="C229" i="7"/>
  <c r="C211" i="7"/>
  <c r="D211" i="7" s="1"/>
  <c r="C190" i="7"/>
  <c r="D190" i="7" s="1"/>
  <c r="C168" i="7"/>
  <c r="C148" i="7"/>
  <c r="D148" i="7" s="1"/>
  <c r="C129" i="7"/>
  <c r="C107" i="7"/>
  <c r="C85" i="7"/>
  <c r="C67" i="7"/>
  <c r="D67" i="7" s="1"/>
  <c r="C46" i="7"/>
  <c r="C24" i="7"/>
  <c r="D24" i="7" s="1"/>
  <c r="C4" i="7"/>
  <c r="D4" i="7" s="1"/>
  <c r="C250" i="7"/>
  <c r="C208" i="7"/>
  <c r="D208" i="7" s="1"/>
  <c r="C189" i="7"/>
  <c r="D189" i="7" s="1"/>
  <c r="C167" i="7"/>
  <c r="C145" i="7"/>
  <c r="D145" i="7" s="1"/>
  <c r="C127" i="7"/>
  <c r="C106" i="7"/>
  <c r="C84" i="7"/>
  <c r="C64" i="7"/>
  <c r="D64" i="7" s="1"/>
  <c r="C45" i="7"/>
  <c r="C23" i="7"/>
  <c r="D23" i="7" s="1"/>
  <c r="C225" i="7"/>
  <c r="D225" i="7" s="1"/>
  <c r="C227" i="7"/>
  <c r="C100" i="7"/>
  <c r="D100" i="7" s="1"/>
  <c r="C228" i="7"/>
  <c r="D228" i="7" s="1"/>
  <c r="C249" i="7"/>
  <c r="C205" i="7"/>
  <c r="D205" i="7" s="1"/>
  <c r="C187" i="7"/>
  <c r="C166" i="7"/>
  <c r="C144" i="7"/>
  <c r="C124" i="7"/>
  <c r="D124" i="7" s="1"/>
  <c r="C105" i="7"/>
  <c r="C83" i="7"/>
  <c r="D83" i="7" s="1"/>
  <c r="C61" i="7"/>
  <c r="D61" i="7" s="1"/>
  <c r="C43" i="7"/>
  <c r="C22" i="7"/>
  <c r="D22" i="7" s="1"/>
  <c r="C247" i="7"/>
  <c r="D247" i="7" s="1"/>
  <c r="C226" i="7"/>
  <c r="C204" i="7"/>
  <c r="D204" i="7" s="1"/>
  <c r="C184" i="7"/>
  <c r="C165" i="7"/>
  <c r="C143" i="7"/>
  <c r="C121" i="7"/>
  <c r="D121" i="7" s="1"/>
  <c r="C103" i="7"/>
  <c r="C82" i="7"/>
  <c r="D82" i="7" s="1"/>
  <c r="C60" i="7"/>
  <c r="D60" i="7" s="1"/>
  <c r="C40" i="7"/>
  <c r="C21" i="7"/>
  <c r="D21" i="7" s="1"/>
  <c r="K2" i="1"/>
  <c r="N2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N18" i="1"/>
  <c r="N19" i="1"/>
  <c r="N20" i="1"/>
  <c r="N40" i="1"/>
  <c r="N41" i="1"/>
  <c r="N42" i="1"/>
  <c r="N57" i="1"/>
  <c r="N58" i="1"/>
  <c r="N64" i="1"/>
  <c r="N79" i="1"/>
  <c r="N80" i="1"/>
  <c r="N81" i="1"/>
  <c r="N101" i="1"/>
  <c r="N102" i="1"/>
  <c r="N103" i="1"/>
  <c r="N118" i="1"/>
  <c r="N124" i="1"/>
  <c r="N125" i="1"/>
  <c r="N140" i="1"/>
  <c r="N141" i="1"/>
  <c r="N142" i="1"/>
  <c r="N162" i="1"/>
  <c r="N163" i="1"/>
  <c r="N164" i="1"/>
  <c r="N184" i="1"/>
  <c r="N185" i="1"/>
  <c r="N186" i="1"/>
  <c r="N201" i="1"/>
  <c r="N202" i="1"/>
  <c r="N208" i="1"/>
  <c r="N223" i="1"/>
  <c r="N224" i="1"/>
  <c r="N225" i="1"/>
  <c r="N245" i="1"/>
  <c r="N246" i="1"/>
  <c r="N247" i="1"/>
  <c r="M8" i="1"/>
  <c r="M9" i="1"/>
  <c r="M15" i="1"/>
  <c r="M16" i="1"/>
  <c r="M30" i="1"/>
  <c r="M31" i="1"/>
  <c r="M32" i="1"/>
  <c r="M33" i="1"/>
  <c r="M52" i="1"/>
  <c r="M53" i="1"/>
  <c r="M54" i="1"/>
  <c r="M55" i="1"/>
  <c r="M63" i="1"/>
  <c r="M69" i="1"/>
  <c r="M75" i="1"/>
  <c r="M76" i="1"/>
  <c r="M77" i="1"/>
  <c r="M91" i="1"/>
  <c r="M92" i="1"/>
  <c r="M93" i="1"/>
  <c r="M99" i="1"/>
  <c r="M102" i="1"/>
  <c r="M112" i="1"/>
  <c r="M113" i="1"/>
  <c r="M114" i="1"/>
  <c r="M115" i="1"/>
  <c r="M116" i="1"/>
  <c r="M123" i="1"/>
  <c r="M128" i="1"/>
  <c r="M129" i="1"/>
  <c r="M130" i="1"/>
  <c r="M134" i="1"/>
  <c r="M135" i="1"/>
  <c r="M138" i="1"/>
  <c r="M146" i="1"/>
  <c r="M147" i="1"/>
  <c r="M148" i="1"/>
  <c r="M149" i="1"/>
  <c r="M150" i="1"/>
  <c r="M153" i="1"/>
  <c r="M161" i="1"/>
  <c r="M162" i="1"/>
  <c r="M163" i="1"/>
  <c r="M164" i="1"/>
  <c r="M165" i="1"/>
  <c r="M171" i="1"/>
  <c r="M176" i="1"/>
  <c r="M177" i="1"/>
  <c r="M178" i="1"/>
  <c r="M182" i="1"/>
  <c r="M183" i="1"/>
  <c r="M186" i="1"/>
  <c r="M194" i="1"/>
  <c r="M195" i="1"/>
  <c r="M196" i="1"/>
  <c r="M197" i="1"/>
  <c r="M198" i="1"/>
  <c r="M201" i="1"/>
  <c r="M209" i="1"/>
  <c r="M210" i="1"/>
  <c r="M211" i="1"/>
  <c r="M212" i="1"/>
  <c r="M213" i="1"/>
  <c r="M219" i="1"/>
  <c r="M224" i="1"/>
  <c r="M225" i="1"/>
  <c r="M226" i="1"/>
  <c r="M230" i="1"/>
  <c r="M231" i="1"/>
  <c r="M234" i="1"/>
  <c r="M242" i="1"/>
  <c r="M243" i="1"/>
  <c r="M244" i="1"/>
  <c r="M245" i="1"/>
  <c r="M246" i="1"/>
  <c r="M249" i="1"/>
  <c r="M4" i="1"/>
  <c r="N17" i="1"/>
  <c r="D103" i="7" l="1"/>
  <c r="D105" i="7"/>
  <c r="D45" i="7"/>
  <c r="D46" i="7"/>
  <c r="D88" i="7"/>
  <c r="D7" i="7"/>
  <c r="D214" i="7"/>
  <c r="D154" i="7"/>
  <c r="D152" i="7"/>
  <c r="D8" i="7"/>
  <c r="D114" i="7"/>
  <c r="D221" i="7"/>
  <c r="D77" i="7"/>
  <c r="D207" i="7"/>
  <c r="D63" i="7"/>
  <c r="D182" i="7"/>
  <c r="D38" i="7"/>
  <c r="D216" i="7"/>
  <c r="D73" i="7"/>
  <c r="D13" i="7"/>
  <c r="D36" i="7"/>
  <c r="D65" i="7"/>
  <c r="D195" i="7"/>
  <c r="D51" i="7"/>
  <c r="D170" i="7"/>
  <c r="D26" i="7"/>
  <c r="D238" i="7"/>
  <c r="D95" i="7"/>
  <c r="D35" i="7"/>
  <c r="D79" i="7"/>
  <c r="D143" i="7"/>
  <c r="D144" i="7"/>
  <c r="D84" i="7"/>
  <c r="D85" i="7"/>
  <c r="D169" i="7"/>
  <c r="D69" i="7"/>
  <c r="D132" i="7"/>
  <c r="D215" i="7"/>
  <c r="D128" i="7"/>
  <c r="D234" i="7"/>
  <c r="D90" i="7"/>
  <c r="D197" i="7"/>
  <c r="D53" i="7"/>
  <c r="D183" i="7"/>
  <c r="D39" i="7"/>
  <c r="D158" i="7"/>
  <c r="D14" i="7"/>
  <c r="D136" i="7"/>
  <c r="D117" i="7"/>
  <c r="D57" i="7"/>
  <c r="D119" i="7"/>
  <c r="D165" i="7"/>
  <c r="D166" i="7"/>
  <c r="D106" i="7"/>
  <c r="D107" i="7"/>
  <c r="D232" i="7"/>
  <c r="D108" i="7"/>
  <c r="D163" i="7"/>
  <c r="D237" i="7"/>
  <c r="D116" i="7"/>
  <c r="D222" i="7"/>
  <c r="D78" i="7"/>
  <c r="D185" i="7"/>
  <c r="D41" i="7"/>
  <c r="D171" i="7"/>
  <c r="D27" i="7"/>
  <c r="D146" i="7"/>
  <c r="D33" i="7"/>
  <c r="D217" i="7"/>
  <c r="D156" i="7"/>
  <c r="D76" i="7"/>
  <c r="D160" i="7"/>
  <c r="D184" i="7"/>
  <c r="D187" i="7"/>
  <c r="D127" i="7"/>
  <c r="D129" i="7"/>
  <c r="D9" i="7"/>
  <c r="D151" i="7"/>
  <c r="D28" i="7"/>
  <c r="D248" i="7"/>
  <c r="D104" i="7"/>
  <c r="D210" i="7"/>
  <c r="D66" i="7"/>
  <c r="D173" i="7"/>
  <c r="D29" i="7"/>
  <c r="D159" i="7"/>
  <c r="D15" i="7"/>
  <c r="D134" i="7"/>
  <c r="D52" i="7"/>
  <c r="D16" i="7"/>
  <c r="D178" i="7"/>
  <c r="D96" i="7"/>
  <c r="D223" i="7"/>
  <c r="D198" i="7"/>
  <c r="D54" i="7"/>
  <c r="D161" i="7"/>
  <c r="D17" i="7"/>
  <c r="D147" i="7"/>
  <c r="D3" i="7"/>
  <c r="D122" i="7"/>
  <c r="D72" i="7"/>
  <c r="D97" i="7"/>
  <c r="D199" i="7"/>
  <c r="D118" i="7"/>
  <c r="D37" i="7"/>
  <c r="D226" i="7"/>
  <c r="D249" i="7"/>
  <c r="D167" i="7"/>
  <c r="D168" i="7"/>
  <c r="D153" i="7"/>
  <c r="D213" i="7"/>
  <c r="D192" i="7"/>
  <c r="D224" i="7"/>
  <c r="D80" i="7"/>
  <c r="D186" i="7"/>
  <c r="D42" i="7"/>
  <c r="D149" i="7"/>
  <c r="D5" i="7"/>
  <c r="D135" i="7"/>
  <c r="D254" i="7"/>
  <c r="D110" i="7"/>
  <c r="D94" i="7"/>
  <c r="D180" i="7"/>
  <c r="D239" i="7"/>
  <c r="D139" i="7"/>
  <c r="D59" i="7"/>
  <c r="D174" i="7"/>
  <c r="D30" i="7"/>
  <c r="D137" i="7"/>
  <c r="D123" i="7"/>
  <c r="D242" i="7"/>
  <c r="D98" i="7"/>
  <c r="D115" i="7"/>
  <c r="D241" i="7"/>
  <c r="D58" i="7"/>
  <c r="D157" i="7"/>
  <c r="D142" i="7"/>
  <c r="D111" i="7"/>
  <c r="D230" i="7"/>
  <c r="D86" i="7"/>
  <c r="D133" i="7"/>
  <c r="D120" i="7"/>
  <c r="D141" i="7"/>
  <c r="D179" i="7"/>
  <c r="D244" i="7"/>
  <c r="D40" i="7"/>
  <c r="D43" i="7"/>
  <c r="D227" i="7"/>
  <c r="D250" i="7"/>
  <c r="D229" i="7"/>
  <c r="D193" i="7"/>
  <c r="D91" i="7"/>
  <c r="D31" i="7"/>
  <c r="D188" i="7"/>
  <c r="D44" i="7"/>
  <c r="D150" i="7"/>
  <c r="D6" i="7"/>
  <c r="D113" i="7"/>
  <c r="D243" i="7"/>
  <c r="D99" i="7"/>
  <c r="D218" i="7"/>
  <c r="D74" i="7"/>
  <c r="D155" i="7"/>
  <c r="D12" i="7"/>
  <c r="D202" i="7"/>
  <c r="D201" i="7"/>
  <c r="N244" i="1"/>
  <c r="N222" i="1"/>
  <c r="N200" i="1"/>
  <c r="N178" i="1"/>
  <c r="N161" i="1"/>
  <c r="N139" i="1"/>
  <c r="N117" i="1"/>
  <c r="N100" i="1"/>
  <c r="N78" i="1"/>
  <c r="N56" i="1"/>
  <c r="N34" i="1"/>
  <c r="N11" i="1"/>
  <c r="N23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N191" i="1"/>
  <c r="N203" i="1"/>
  <c r="N215" i="1"/>
  <c r="N227" i="1"/>
  <c r="N239" i="1"/>
  <c r="N251" i="1"/>
  <c r="N12" i="1"/>
  <c r="N24" i="1"/>
  <c r="N36" i="1"/>
  <c r="N48" i="1"/>
  <c r="N60" i="1"/>
  <c r="N72" i="1"/>
  <c r="N84" i="1"/>
  <c r="N96" i="1"/>
  <c r="N108" i="1"/>
  <c r="N120" i="1"/>
  <c r="N132" i="1"/>
  <c r="N144" i="1"/>
  <c r="N156" i="1"/>
  <c r="N168" i="1"/>
  <c r="N180" i="1"/>
  <c r="N192" i="1"/>
  <c r="N204" i="1"/>
  <c r="N216" i="1"/>
  <c r="N228" i="1"/>
  <c r="N240" i="1"/>
  <c r="N252" i="1"/>
  <c r="N26" i="1"/>
  <c r="N38" i="1"/>
  <c r="N50" i="1"/>
  <c r="N62" i="1"/>
  <c r="N74" i="1"/>
  <c r="N98" i="1"/>
  <c r="N122" i="1"/>
  <c r="N146" i="1"/>
  <c r="N158" i="1"/>
  <c r="N182" i="1"/>
  <c r="N194" i="1"/>
  <c r="N218" i="1"/>
  <c r="N230" i="1"/>
  <c r="N254" i="1"/>
  <c r="N3" i="1"/>
  <c r="N27" i="1"/>
  <c r="N39" i="1"/>
  <c r="N51" i="1"/>
  <c r="N75" i="1"/>
  <c r="N87" i="1"/>
  <c r="N111" i="1"/>
  <c r="N123" i="1"/>
  <c r="N147" i="1"/>
  <c r="N159" i="1"/>
  <c r="N183" i="1"/>
  <c r="N195" i="1"/>
  <c r="N219" i="1"/>
  <c r="N231" i="1"/>
  <c r="N13" i="1"/>
  <c r="N25" i="1"/>
  <c r="N37" i="1"/>
  <c r="N49" i="1"/>
  <c r="N61" i="1"/>
  <c r="N73" i="1"/>
  <c r="N85" i="1"/>
  <c r="N97" i="1"/>
  <c r="N109" i="1"/>
  <c r="N121" i="1"/>
  <c r="N133" i="1"/>
  <c r="N145" i="1"/>
  <c r="N157" i="1"/>
  <c r="N169" i="1"/>
  <c r="N181" i="1"/>
  <c r="N193" i="1"/>
  <c r="N205" i="1"/>
  <c r="N217" i="1"/>
  <c r="N229" i="1"/>
  <c r="N241" i="1"/>
  <c r="N253" i="1"/>
  <c r="N14" i="1"/>
  <c r="N86" i="1"/>
  <c r="N110" i="1"/>
  <c r="N134" i="1"/>
  <c r="N170" i="1"/>
  <c r="N206" i="1"/>
  <c r="N242" i="1"/>
  <c r="N15" i="1"/>
  <c r="N63" i="1"/>
  <c r="N99" i="1"/>
  <c r="N135" i="1"/>
  <c r="N171" i="1"/>
  <c r="N207" i="1"/>
  <c r="N243" i="1"/>
  <c r="M51" i="1"/>
  <c r="M29" i="1"/>
  <c r="M7" i="1"/>
  <c r="N238" i="1"/>
  <c r="N221" i="1"/>
  <c r="N199" i="1"/>
  <c r="N177" i="1"/>
  <c r="N160" i="1"/>
  <c r="N138" i="1"/>
  <c r="N116" i="1"/>
  <c r="N94" i="1"/>
  <c r="N77" i="1"/>
  <c r="N55" i="1"/>
  <c r="N33" i="1"/>
  <c r="N16" i="1"/>
  <c r="M223" i="1"/>
  <c r="M111" i="1"/>
  <c r="M6" i="1"/>
  <c r="N198" i="1"/>
  <c r="N176" i="1"/>
  <c r="N93" i="1"/>
  <c r="N76" i="1"/>
  <c r="N54" i="1"/>
  <c r="N32" i="1"/>
  <c r="N10" i="1"/>
  <c r="M90" i="1"/>
  <c r="M190" i="1"/>
  <c r="M160" i="1"/>
  <c r="M89" i="1"/>
  <c r="M28" i="1"/>
  <c r="N154" i="1"/>
  <c r="M237" i="1"/>
  <c r="M222" i="1"/>
  <c r="M207" i="1"/>
  <c r="M189" i="1"/>
  <c r="M174" i="1"/>
  <c r="M159" i="1"/>
  <c r="M141" i="1"/>
  <c r="M126" i="1"/>
  <c r="M105" i="1"/>
  <c r="M88" i="1"/>
  <c r="M66" i="1"/>
  <c r="M44" i="1"/>
  <c r="M27" i="1"/>
  <c r="M5" i="1"/>
  <c r="N236" i="1"/>
  <c r="N214" i="1"/>
  <c r="N197" i="1"/>
  <c r="N175" i="1"/>
  <c r="N153" i="1"/>
  <c r="N136" i="1"/>
  <c r="N114" i="1"/>
  <c r="N92" i="1"/>
  <c r="N70" i="1"/>
  <c r="N53" i="1"/>
  <c r="N31" i="1"/>
  <c r="N9" i="1"/>
  <c r="M68" i="1"/>
  <c r="M208" i="1"/>
  <c r="M142" i="1"/>
  <c r="M67" i="1"/>
  <c r="N220" i="1"/>
  <c r="N115" i="1"/>
  <c r="M254" i="1"/>
  <c r="M236" i="1"/>
  <c r="M221" i="1"/>
  <c r="M206" i="1"/>
  <c r="M188" i="1"/>
  <c r="M173" i="1"/>
  <c r="M158" i="1"/>
  <c r="M140" i="1"/>
  <c r="M125" i="1"/>
  <c r="M104" i="1"/>
  <c r="M87" i="1"/>
  <c r="M65" i="1"/>
  <c r="M43" i="1"/>
  <c r="M21" i="1"/>
  <c r="N235" i="1"/>
  <c r="N213" i="1"/>
  <c r="N196" i="1"/>
  <c r="N174" i="1"/>
  <c r="N152" i="1"/>
  <c r="N130" i="1"/>
  <c r="N113" i="1"/>
  <c r="N91" i="1"/>
  <c r="N69" i="1"/>
  <c r="N52" i="1"/>
  <c r="N30" i="1"/>
  <c r="N8" i="1"/>
  <c r="M10" i="1"/>
  <c r="M22" i="1"/>
  <c r="M34" i="1"/>
  <c r="M46" i="1"/>
  <c r="M58" i="1"/>
  <c r="M70" i="1"/>
  <c r="M82" i="1"/>
  <c r="M94" i="1"/>
  <c r="M106" i="1"/>
  <c r="M118" i="1"/>
  <c r="M11" i="1"/>
  <c r="M23" i="1"/>
  <c r="M35" i="1"/>
  <c r="M47" i="1"/>
  <c r="M59" i="1"/>
  <c r="M71" i="1"/>
  <c r="M83" i="1"/>
  <c r="M95" i="1"/>
  <c r="M107" i="1"/>
  <c r="M119" i="1"/>
  <c r="M131" i="1"/>
  <c r="M143" i="1"/>
  <c r="M155" i="1"/>
  <c r="M167" i="1"/>
  <c r="M179" i="1"/>
  <c r="M191" i="1"/>
  <c r="M203" i="1"/>
  <c r="M215" i="1"/>
  <c r="M227" i="1"/>
  <c r="M239" i="1"/>
  <c r="M251" i="1"/>
  <c r="M13" i="1"/>
  <c r="M37" i="1"/>
  <c r="M49" i="1"/>
  <c r="M73" i="1"/>
  <c r="M97" i="1"/>
  <c r="M133" i="1"/>
  <c r="M157" i="1"/>
  <c r="M181" i="1"/>
  <c r="M217" i="1"/>
  <c r="M241" i="1"/>
  <c r="M38" i="1"/>
  <c r="M62" i="1"/>
  <c r="M86" i="1"/>
  <c r="M110" i="1"/>
  <c r="M12" i="1"/>
  <c r="M24" i="1"/>
  <c r="M36" i="1"/>
  <c r="M48" i="1"/>
  <c r="M60" i="1"/>
  <c r="M72" i="1"/>
  <c r="M84" i="1"/>
  <c r="M96" i="1"/>
  <c r="M108" i="1"/>
  <c r="M120" i="1"/>
  <c r="M132" i="1"/>
  <c r="M144" i="1"/>
  <c r="M156" i="1"/>
  <c r="M168" i="1"/>
  <c r="M180" i="1"/>
  <c r="M192" i="1"/>
  <c r="M204" i="1"/>
  <c r="M216" i="1"/>
  <c r="M228" i="1"/>
  <c r="M240" i="1"/>
  <c r="M252" i="1"/>
  <c r="M25" i="1"/>
  <c r="M61" i="1"/>
  <c r="M85" i="1"/>
  <c r="M109" i="1"/>
  <c r="M121" i="1"/>
  <c r="M145" i="1"/>
  <c r="M169" i="1"/>
  <c r="M193" i="1"/>
  <c r="M205" i="1"/>
  <c r="M229" i="1"/>
  <c r="M253" i="1"/>
  <c r="M14" i="1"/>
  <c r="M26" i="1"/>
  <c r="M50" i="1"/>
  <c r="M74" i="1"/>
  <c r="M98" i="1"/>
  <c r="M238" i="1"/>
  <c r="M175" i="1"/>
  <c r="M127" i="1"/>
  <c r="M45" i="1"/>
  <c r="N237" i="1"/>
  <c r="N137" i="1"/>
  <c r="M250" i="1"/>
  <c r="M235" i="1"/>
  <c r="M220" i="1"/>
  <c r="M202" i="1"/>
  <c r="M187" i="1"/>
  <c r="M172" i="1"/>
  <c r="M154" i="1"/>
  <c r="M139" i="1"/>
  <c r="M124" i="1"/>
  <c r="M103" i="1"/>
  <c r="M81" i="1"/>
  <c r="M64" i="1"/>
  <c r="M42" i="1"/>
  <c r="M20" i="1"/>
  <c r="M3" i="1"/>
  <c r="N234" i="1"/>
  <c r="N212" i="1"/>
  <c r="N190" i="1"/>
  <c r="N173" i="1"/>
  <c r="N151" i="1"/>
  <c r="N129" i="1"/>
  <c r="N112" i="1"/>
  <c r="N90" i="1"/>
  <c r="N68" i="1"/>
  <c r="N46" i="1"/>
  <c r="N29" i="1"/>
  <c r="N7" i="1"/>
  <c r="M19" i="1"/>
  <c r="N233" i="1"/>
  <c r="N189" i="1"/>
  <c r="N150" i="1"/>
  <c r="N106" i="1"/>
  <c r="N89" i="1"/>
  <c r="N45" i="1"/>
  <c r="N6" i="1"/>
  <c r="M248" i="1"/>
  <c r="M233" i="1"/>
  <c r="M200" i="1"/>
  <c r="M185" i="1"/>
  <c r="M170" i="1"/>
  <c r="M152" i="1"/>
  <c r="M137" i="1"/>
  <c r="M122" i="1"/>
  <c r="M101" i="1"/>
  <c r="M79" i="1"/>
  <c r="M57" i="1"/>
  <c r="M40" i="1"/>
  <c r="M18" i="1"/>
  <c r="N249" i="1"/>
  <c r="N232" i="1"/>
  <c r="N210" i="1"/>
  <c r="N188" i="1"/>
  <c r="N166" i="1"/>
  <c r="N149" i="1"/>
  <c r="N127" i="1"/>
  <c r="N105" i="1"/>
  <c r="N88" i="1"/>
  <c r="N66" i="1"/>
  <c r="N44" i="1"/>
  <c r="N22" i="1"/>
  <c r="N5" i="1"/>
  <c r="M80" i="1"/>
  <c r="M41" i="1"/>
  <c r="N250" i="1"/>
  <c r="N211" i="1"/>
  <c r="N172" i="1"/>
  <c r="N128" i="1"/>
  <c r="N67" i="1"/>
  <c r="N28" i="1"/>
  <c r="M218" i="1"/>
  <c r="M247" i="1"/>
  <c r="M232" i="1"/>
  <c r="M214" i="1"/>
  <c r="M199" i="1"/>
  <c r="M184" i="1"/>
  <c r="M166" i="1"/>
  <c r="M151" i="1"/>
  <c r="M136" i="1"/>
  <c r="M117" i="1"/>
  <c r="M100" i="1"/>
  <c r="M78" i="1"/>
  <c r="M56" i="1"/>
  <c r="M39" i="1"/>
  <c r="M17" i="1"/>
  <c r="N248" i="1"/>
  <c r="N226" i="1"/>
  <c r="N209" i="1"/>
  <c r="N187" i="1"/>
  <c r="N165" i="1"/>
  <c r="N148" i="1"/>
  <c r="N126" i="1"/>
  <c r="N104" i="1"/>
  <c r="N82" i="1"/>
  <c r="N65" i="1"/>
  <c r="N43" i="1"/>
  <c r="N21" i="1"/>
  <c r="N4" i="1"/>
</calcChain>
</file>

<file path=xl/sharedStrings.xml><?xml version="1.0" encoding="utf-8"?>
<sst xmlns="http://schemas.openxmlformats.org/spreadsheetml/2006/main" count="628" uniqueCount="71">
  <si>
    <t>ASX Code</t>
  </si>
  <si>
    <t>Company Name</t>
  </si>
  <si>
    <t>Date</t>
  </si>
  <si>
    <t>Open</t>
  </si>
  <si>
    <t>High</t>
  </si>
  <si>
    <t>Low</t>
  </si>
  <si>
    <t>Close</t>
  </si>
  <si>
    <t>Volume</t>
  </si>
  <si>
    <t>Market Capitalisation($m)</t>
  </si>
  <si>
    <t>Shares on Issue</t>
  </si>
  <si>
    <t>UNI</t>
  </si>
  <si>
    <t>Universal Store Holdings Limited</t>
  </si>
  <si>
    <t>Dividend</t>
  </si>
  <si>
    <t>EPS</t>
  </si>
  <si>
    <t>PE</t>
  </si>
  <si>
    <t>Dividend Yield</t>
  </si>
  <si>
    <t>Data analysis PE</t>
  </si>
  <si>
    <t>Market Value</t>
  </si>
  <si>
    <t>Portfolio</t>
  </si>
  <si>
    <t>Cash Balance</t>
  </si>
  <si>
    <t>number of shares on opening day</t>
  </si>
  <si>
    <t>Portfolio /Opening day Close Price</t>
  </si>
  <si>
    <t>Total dividend</t>
  </si>
  <si>
    <t>Initial Investment</t>
  </si>
  <si>
    <t>Buy Date</t>
  </si>
  <si>
    <t>Buy Price</t>
  </si>
  <si>
    <t>Sell Date</t>
  </si>
  <si>
    <t>Sell Price</t>
  </si>
  <si>
    <t>Value</t>
  </si>
  <si>
    <t>Shares</t>
  </si>
  <si>
    <t>Datanalysis Closing Values</t>
  </si>
  <si>
    <t>Metric</t>
  </si>
  <si>
    <t>2024-07-03</t>
  </si>
  <si>
    <t>Shares Bought</t>
  </si>
  <si>
    <t>Final Value</t>
  </si>
  <si>
    <t>Profit</t>
  </si>
  <si>
    <t>Return (%)</t>
  </si>
  <si>
    <t>Investment</t>
  </si>
  <si>
    <t>Trade #</t>
  </si>
  <si>
    <t>Cost</t>
  </si>
  <si>
    <t>Revenue</t>
  </si>
  <si>
    <t>Profit (Formula)</t>
  </si>
  <si>
    <t>Buy Marker</t>
  </si>
  <si>
    <t>Sell Marker</t>
  </si>
  <si>
    <t xml:space="preserve">Return (%) </t>
  </si>
  <si>
    <t>Trade</t>
  </si>
  <si>
    <t>Profit %</t>
  </si>
  <si>
    <t>Cumulative Portfolio</t>
  </si>
  <si>
    <t>13/09/2024</t>
  </si>
  <si>
    <t>3/10/2024</t>
  </si>
  <si>
    <t>15/07/2024</t>
  </si>
  <si>
    <t>24/07/2024</t>
  </si>
  <si>
    <t>21/08/2024</t>
  </si>
  <si>
    <t>22/08/2024</t>
  </si>
  <si>
    <t>2/12/2024</t>
  </si>
  <si>
    <t>5/12/2024</t>
  </si>
  <si>
    <t>19/12/2024</t>
  </si>
  <si>
    <t>27/12/2024</t>
  </si>
  <si>
    <t>1/05/2025</t>
  </si>
  <si>
    <t>13/05/2025</t>
  </si>
  <si>
    <t>24/06/2025</t>
  </si>
  <si>
    <t>30/06/2025</t>
  </si>
  <si>
    <t>17/02/2025</t>
  </si>
  <si>
    <t>20/02/2025</t>
  </si>
  <si>
    <t>27/05/2025</t>
  </si>
  <si>
    <t>30/05/2025</t>
  </si>
  <si>
    <t>9/04/2025</t>
  </si>
  <si>
    <t>10/04/2025</t>
  </si>
  <si>
    <t>Chart Date</t>
  </si>
  <si>
    <t>Value ($)</t>
  </si>
  <si>
    <t>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</si>
</sst>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##"/>
    <numFmt numFmtId="165" formatCode="#,##0.0000"/>
    <numFmt numFmtId="166" formatCode="yyyy\-mm\-dd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2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8" fillId="33" borderId="0" xfId="0" applyFont="1" applyFill="1" applyAlignment="1">
      <alignment horizontal="center"/>
    </xf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0" fontId="19" fillId="0" borderId="0" xfId="0" applyFon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0" fontId="20" fillId="0" borderId="0" xfId="0" applyFont="1" applyAlignment="1">
      <alignment horizontal="center" vertical="top"/>
    </xf>
    <xf numFmtId="0" fontId="0" fillId="0" borderId="10" xfId="0" applyBorder="1"/>
    <xf numFmtId="10" fontId="0" fillId="0" borderId="0" xfId="42" applyNumberFormat="1" applyFont="1"/>
    <xf numFmtId="0" fontId="0" fillId="0" borderId="0" xfId="42" applyNumberFormat="1" applyFont="1"/>
    <xf numFmtId="0" fontId="16" fillId="0" borderId="10" xfId="0" applyFont="1" applyBorder="1" applyAlignment="1">
      <alignment horizontal="center" vertical="top"/>
    </xf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Vs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1"/>
          <c:tx>
            <c:strRef>
              <c:f>'Close vs Volume'!$F$1</c:f>
              <c:strCache>
                <c:ptCount val="1"/>
                <c:pt idx="0">
                  <c:v>Volume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89-4F59-97D9-C74A5E0A10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5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'Close vs Volume'!$A$2:$A$254</c:f>
              <c:numCache>
                <c:formatCode>m/d/yyyy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'Close vs Volume'!$F$2:$F$254</c:f>
              <c:numCache>
                <c:formatCode>#,##0.00##</c:formatCode>
                <c:ptCount val="253"/>
                <c:pt idx="0">
                  <c:v>43745</c:v>
                </c:pt>
                <c:pt idx="1">
                  <c:v>20190</c:v>
                </c:pt>
                <c:pt idx="2">
                  <c:v>85301</c:v>
                </c:pt>
                <c:pt idx="3">
                  <c:v>35134</c:v>
                </c:pt>
                <c:pt idx="4">
                  <c:v>11781</c:v>
                </c:pt>
                <c:pt idx="5">
                  <c:v>42865</c:v>
                </c:pt>
                <c:pt idx="6">
                  <c:v>15162</c:v>
                </c:pt>
                <c:pt idx="7">
                  <c:v>36995</c:v>
                </c:pt>
                <c:pt idx="8">
                  <c:v>41394</c:v>
                </c:pt>
                <c:pt idx="9">
                  <c:v>57869</c:v>
                </c:pt>
                <c:pt idx="10">
                  <c:v>47698</c:v>
                </c:pt>
                <c:pt idx="11">
                  <c:v>138774</c:v>
                </c:pt>
                <c:pt idx="12">
                  <c:v>40205</c:v>
                </c:pt>
                <c:pt idx="13">
                  <c:v>173281</c:v>
                </c:pt>
                <c:pt idx="14">
                  <c:v>394313</c:v>
                </c:pt>
                <c:pt idx="15">
                  <c:v>89619</c:v>
                </c:pt>
                <c:pt idx="16">
                  <c:v>103668</c:v>
                </c:pt>
                <c:pt idx="17">
                  <c:v>66269</c:v>
                </c:pt>
                <c:pt idx="18">
                  <c:v>64506</c:v>
                </c:pt>
                <c:pt idx="19">
                  <c:v>44510</c:v>
                </c:pt>
                <c:pt idx="20">
                  <c:v>55839</c:v>
                </c:pt>
                <c:pt idx="21">
                  <c:v>52504</c:v>
                </c:pt>
                <c:pt idx="22">
                  <c:v>85728</c:v>
                </c:pt>
                <c:pt idx="23">
                  <c:v>50864</c:v>
                </c:pt>
                <c:pt idx="24">
                  <c:v>121151</c:v>
                </c:pt>
                <c:pt idx="25">
                  <c:v>145384</c:v>
                </c:pt>
                <c:pt idx="26">
                  <c:v>37979</c:v>
                </c:pt>
                <c:pt idx="27">
                  <c:v>66225</c:v>
                </c:pt>
                <c:pt idx="28">
                  <c:v>33109</c:v>
                </c:pt>
                <c:pt idx="29">
                  <c:v>71680</c:v>
                </c:pt>
                <c:pt idx="30">
                  <c:v>110555</c:v>
                </c:pt>
                <c:pt idx="31">
                  <c:v>61893</c:v>
                </c:pt>
                <c:pt idx="32">
                  <c:v>90945</c:v>
                </c:pt>
                <c:pt idx="33">
                  <c:v>64892</c:v>
                </c:pt>
                <c:pt idx="34">
                  <c:v>90822</c:v>
                </c:pt>
                <c:pt idx="35">
                  <c:v>164532</c:v>
                </c:pt>
                <c:pt idx="36">
                  <c:v>47907</c:v>
                </c:pt>
                <c:pt idx="37">
                  <c:v>55763</c:v>
                </c:pt>
                <c:pt idx="38">
                  <c:v>327244</c:v>
                </c:pt>
                <c:pt idx="39">
                  <c:v>1763867</c:v>
                </c:pt>
                <c:pt idx="40">
                  <c:v>82771</c:v>
                </c:pt>
                <c:pt idx="41">
                  <c:v>57275</c:v>
                </c:pt>
                <c:pt idx="42">
                  <c:v>100608</c:v>
                </c:pt>
                <c:pt idx="43">
                  <c:v>122423</c:v>
                </c:pt>
                <c:pt idx="44">
                  <c:v>59855</c:v>
                </c:pt>
                <c:pt idx="45">
                  <c:v>230900</c:v>
                </c:pt>
                <c:pt idx="46">
                  <c:v>90570</c:v>
                </c:pt>
                <c:pt idx="47">
                  <c:v>91262</c:v>
                </c:pt>
                <c:pt idx="48">
                  <c:v>104583</c:v>
                </c:pt>
                <c:pt idx="49">
                  <c:v>108533</c:v>
                </c:pt>
                <c:pt idx="50">
                  <c:v>76452</c:v>
                </c:pt>
                <c:pt idx="51">
                  <c:v>83721</c:v>
                </c:pt>
                <c:pt idx="52">
                  <c:v>101703</c:v>
                </c:pt>
                <c:pt idx="53">
                  <c:v>143183</c:v>
                </c:pt>
                <c:pt idx="54">
                  <c:v>137677</c:v>
                </c:pt>
                <c:pt idx="55">
                  <c:v>115215</c:v>
                </c:pt>
                <c:pt idx="56">
                  <c:v>213208</c:v>
                </c:pt>
                <c:pt idx="57">
                  <c:v>175959</c:v>
                </c:pt>
                <c:pt idx="58">
                  <c:v>156770</c:v>
                </c:pt>
                <c:pt idx="59">
                  <c:v>213082</c:v>
                </c:pt>
                <c:pt idx="60">
                  <c:v>222843</c:v>
                </c:pt>
                <c:pt idx="61">
                  <c:v>155575</c:v>
                </c:pt>
                <c:pt idx="62">
                  <c:v>167393</c:v>
                </c:pt>
                <c:pt idx="63">
                  <c:v>353878</c:v>
                </c:pt>
                <c:pt idx="64">
                  <c:v>158883</c:v>
                </c:pt>
                <c:pt idx="65">
                  <c:v>304744</c:v>
                </c:pt>
                <c:pt idx="66">
                  <c:v>162955</c:v>
                </c:pt>
                <c:pt idx="67">
                  <c:v>124474</c:v>
                </c:pt>
                <c:pt idx="68">
                  <c:v>187027</c:v>
                </c:pt>
                <c:pt idx="69">
                  <c:v>94939</c:v>
                </c:pt>
                <c:pt idx="70">
                  <c:v>51999</c:v>
                </c:pt>
                <c:pt idx="71">
                  <c:v>70668</c:v>
                </c:pt>
                <c:pt idx="72">
                  <c:v>92087</c:v>
                </c:pt>
                <c:pt idx="73">
                  <c:v>149400</c:v>
                </c:pt>
                <c:pt idx="74">
                  <c:v>71778</c:v>
                </c:pt>
                <c:pt idx="75">
                  <c:v>374206</c:v>
                </c:pt>
                <c:pt idx="76">
                  <c:v>147740</c:v>
                </c:pt>
                <c:pt idx="77">
                  <c:v>330849</c:v>
                </c:pt>
                <c:pt idx="78">
                  <c:v>75140</c:v>
                </c:pt>
                <c:pt idx="79">
                  <c:v>77637</c:v>
                </c:pt>
                <c:pt idx="80">
                  <c:v>91507</c:v>
                </c:pt>
                <c:pt idx="81">
                  <c:v>310090</c:v>
                </c:pt>
                <c:pt idx="82">
                  <c:v>121640</c:v>
                </c:pt>
                <c:pt idx="83">
                  <c:v>147525</c:v>
                </c:pt>
                <c:pt idx="84">
                  <c:v>52216</c:v>
                </c:pt>
                <c:pt idx="85">
                  <c:v>105655</c:v>
                </c:pt>
                <c:pt idx="86">
                  <c:v>166779</c:v>
                </c:pt>
                <c:pt idx="87">
                  <c:v>395440</c:v>
                </c:pt>
                <c:pt idx="88">
                  <c:v>200046</c:v>
                </c:pt>
                <c:pt idx="89">
                  <c:v>119061</c:v>
                </c:pt>
                <c:pt idx="90">
                  <c:v>112819</c:v>
                </c:pt>
                <c:pt idx="91">
                  <c:v>41104</c:v>
                </c:pt>
                <c:pt idx="92">
                  <c:v>110653</c:v>
                </c:pt>
                <c:pt idx="93">
                  <c:v>123629</c:v>
                </c:pt>
                <c:pt idx="94">
                  <c:v>190861</c:v>
                </c:pt>
                <c:pt idx="95">
                  <c:v>54422</c:v>
                </c:pt>
                <c:pt idx="96">
                  <c:v>210416</c:v>
                </c:pt>
                <c:pt idx="97">
                  <c:v>37761</c:v>
                </c:pt>
                <c:pt idx="98">
                  <c:v>57848</c:v>
                </c:pt>
                <c:pt idx="99">
                  <c:v>129795</c:v>
                </c:pt>
                <c:pt idx="100">
                  <c:v>85518</c:v>
                </c:pt>
                <c:pt idx="101">
                  <c:v>72454</c:v>
                </c:pt>
                <c:pt idx="102">
                  <c:v>37779</c:v>
                </c:pt>
                <c:pt idx="103">
                  <c:v>77179</c:v>
                </c:pt>
                <c:pt idx="104">
                  <c:v>109294</c:v>
                </c:pt>
                <c:pt idx="105">
                  <c:v>284915</c:v>
                </c:pt>
                <c:pt idx="106">
                  <c:v>128668</c:v>
                </c:pt>
                <c:pt idx="107">
                  <c:v>33205</c:v>
                </c:pt>
                <c:pt idx="108">
                  <c:v>25958</c:v>
                </c:pt>
                <c:pt idx="109">
                  <c:v>78703</c:v>
                </c:pt>
                <c:pt idx="110">
                  <c:v>77338</c:v>
                </c:pt>
                <c:pt idx="111">
                  <c:v>96348</c:v>
                </c:pt>
                <c:pt idx="112">
                  <c:v>82275</c:v>
                </c:pt>
                <c:pt idx="113">
                  <c:v>247348</c:v>
                </c:pt>
                <c:pt idx="114">
                  <c:v>256540</c:v>
                </c:pt>
                <c:pt idx="115">
                  <c:v>109113</c:v>
                </c:pt>
                <c:pt idx="116">
                  <c:v>127838</c:v>
                </c:pt>
                <c:pt idx="117">
                  <c:v>54670</c:v>
                </c:pt>
                <c:pt idx="118">
                  <c:v>58301</c:v>
                </c:pt>
                <c:pt idx="119">
                  <c:v>120799</c:v>
                </c:pt>
                <c:pt idx="120">
                  <c:v>59312</c:v>
                </c:pt>
                <c:pt idx="121">
                  <c:v>131056</c:v>
                </c:pt>
                <c:pt idx="122">
                  <c:v>133367</c:v>
                </c:pt>
                <c:pt idx="123">
                  <c:v>46797</c:v>
                </c:pt>
                <c:pt idx="124">
                  <c:v>80796</c:v>
                </c:pt>
                <c:pt idx="125">
                  <c:v>92194</c:v>
                </c:pt>
                <c:pt idx="126">
                  <c:v>47866</c:v>
                </c:pt>
                <c:pt idx="127">
                  <c:v>386522</c:v>
                </c:pt>
                <c:pt idx="128">
                  <c:v>75209</c:v>
                </c:pt>
                <c:pt idx="129">
                  <c:v>26154</c:v>
                </c:pt>
                <c:pt idx="130">
                  <c:v>58529</c:v>
                </c:pt>
                <c:pt idx="131">
                  <c:v>36461</c:v>
                </c:pt>
                <c:pt idx="132">
                  <c:v>70433</c:v>
                </c:pt>
                <c:pt idx="133">
                  <c:v>326608</c:v>
                </c:pt>
                <c:pt idx="134">
                  <c:v>120085</c:v>
                </c:pt>
                <c:pt idx="135">
                  <c:v>88131</c:v>
                </c:pt>
                <c:pt idx="136">
                  <c:v>451450</c:v>
                </c:pt>
                <c:pt idx="137">
                  <c:v>283789</c:v>
                </c:pt>
                <c:pt idx="138">
                  <c:v>151817</c:v>
                </c:pt>
                <c:pt idx="139">
                  <c:v>204952</c:v>
                </c:pt>
                <c:pt idx="140">
                  <c:v>101630</c:v>
                </c:pt>
                <c:pt idx="141">
                  <c:v>124424</c:v>
                </c:pt>
                <c:pt idx="142">
                  <c:v>65588</c:v>
                </c:pt>
                <c:pt idx="143">
                  <c:v>147956</c:v>
                </c:pt>
                <c:pt idx="144">
                  <c:v>68786</c:v>
                </c:pt>
                <c:pt idx="145">
                  <c:v>308291</c:v>
                </c:pt>
                <c:pt idx="146">
                  <c:v>71378</c:v>
                </c:pt>
                <c:pt idx="147">
                  <c:v>86813</c:v>
                </c:pt>
                <c:pt idx="148">
                  <c:v>417347</c:v>
                </c:pt>
                <c:pt idx="149">
                  <c:v>148502</c:v>
                </c:pt>
                <c:pt idx="150">
                  <c:v>177567</c:v>
                </c:pt>
                <c:pt idx="151">
                  <c:v>99429</c:v>
                </c:pt>
                <c:pt idx="152">
                  <c:v>74528</c:v>
                </c:pt>
                <c:pt idx="153">
                  <c:v>96089</c:v>
                </c:pt>
                <c:pt idx="154">
                  <c:v>188818</c:v>
                </c:pt>
                <c:pt idx="155">
                  <c:v>170983</c:v>
                </c:pt>
                <c:pt idx="156">
                  <c:v>87709</c:v>
                </c:pt>
                <c:pt idx="157">
                  <c:v>74292</c:v>
                </c:pt>
                <c:pt idx="158">
                  <c:v>51627</c:v>
                </c:pt>
                <c:pt idx="159">
                  <c:v>54050</c:v>
                </c:pt>
                <c:pt idx="160">
                  <c:v>53391</c:v>
                </c:pt>
                <c:pt idx="161">
                  <c:v>151420</c:v>
                </c:pt>
                <c:pt idx="162">
                  <c:v>149846</c:v>
                </c:pt>
                <c:pt idx="163">
                  <c:v>99286</c:v>
                </c:pt>
                <c:pt idx="164">
                  <c:v>290773</c:v>
                </c:pt>
                <c:pt idx="165">
                  <c:v>422545</c:v>
                </c:pt>
                <c:pt idx="166">
                  <c:v>198178</c:v>
                </c:pt>
                <c:pt idx="167">
                  <c:v>117192</c:v>
                </c:pt>
                <c:pt idx="168">
                  <c:v>131067</c:v>
                </c:pt>
                <c:pt idx="169">
                  <c:v>271880</c:v>
                </c:pt>
                <c:pt idx="170">
                  <c:v>73899</c:v>
                </c:pt>
                <c:pt idx="171">
                  <c:v>223236</c:v>
                </c:pt>
                <c:pt idx="172">
                  <c:v>194096</c:v>
                </c:pt>
                <c:pt idx="173">
                  <c:v>188855</c:v>
                </c:pt>
                <c:pt idx="174">
                  <c:v>160197</c:v>
                </c:pt>
                <c:pt idx="175">
                  <c:v>116623</c:v>
                </c:pt>
                <c:pt idx="176">
                  <c:v>122074</c:v>
                </c:pt>
                <c:pt idx="177">
                  <c:v>391983</c:v>
                </c:pt>
                <c:pt idx="178">
                  <c:v>344394</c:v>
                </c:pt>
                <c:pt idx="179">
                  <c:v>150606</c:v>
                </c:pt>
                <c:pt idx="180">
                  <c:v>74053</c:v>
                </c:pt>
                <c:pt idx="181">
                  <c:v>160862</c:v>
                </c:pt>
                <c:pt idx="182">
                  <c:v>224405</c:v>
                </c:pt>
                <c:pt idx="183">
                  <c:v>189050</c:v>
                </c:pt>
                <c:pt idx="184">
                  <c:v>144850</c:v>
                </c:pt>
                <c:pt idx="185">
                  <c:v>272251</c:v>
                </c:pt>
                <c:pt idx="186">
                  <c:v>66898</c:v>
                </c:pt>
                <c:pt idx="187">
                  <c:v>105620</c:v>
                </c:pt>
                <c:pt idx="188">
                  <c:v>184687</c:v>
                </c:pt>
                <c:pt idx="189">
                  <c:v>53941</c:v>
                </c:pt>
                <c:pt idx="190">
                  <c:v>65492</c:v>
                </c:pt>
                <c:pt idx="191">
                  <c:v>97850</c:v>
                </c:pt>
                <c:pt idx="192">
                  <c:v>87962</c:v>
                </c:pt>
                <c:pt idx="193">
                  <c:v>102884</c:v>
                </c:pt>
                <c:pt idx="194">
                  <c:v>64831</c:v>
                </c:pt>
                <c:pt idx="195">
                  <c:v>107518</c:v>
                </c:pt>
                <c:pt idx="196">
                  <c:v>175385</c:v>
                </c:pt>
                <c:pt idx="197">
                  <c:v>207524</c:v>
                </c:pt>
                <c:pt idx="198">
                  <c:v>78112</c:v>
                </c:pt>
                <c:pt idx="199">
                  <c:v>171903</c:v>
                </c:pt>
                <c:pt idx="200">
                  <c:v>67609</c:v>
                </c:pt>
                <c:pt idx="201">
                  <c:v>108996</c:v>
                </c:pt>
                <c:pt idx="202">
                  <c:v>68126</c:v>
                </c:pt>
                <c:pt idx="203">
                  <c:v>70451</c:v>
                </c:pt>
                <c:pt idx="204">
                  <c:v>42383</c:v>
                </c:pt>
                <c:pt idx="205">
                  <c:v>29600</c:v>
                </c:pt>
                <c:pt idx="206">
                  <c:v>52082</c:v>
                </c:pt>
                <c:pt idx="207">
                  <c:v>69125</c:v>
                </c:pt>
                <c:pt idx="208">
                  <c:v>66116</c:v>
                </c:pt>
                <c:pt idx="209">
                  <c:v>35407</c:v>
                </c:pt>
                <c:pt idx="210">
                  <c:v>31632</c:v>
                </c:pt>
                <c:pt idx="211">
                  <c:v>35610</c:v>
                </c:pt>
                <c:pt idx="212">
                  <c:v>31287</c:v>
                </c:pt>
                <c:pt idx="213">
                  <c:v>19866</c:v>
                </c:pt>
                <c:pt idx="214">
                  <c:v>35654</c:v>
                </c:pt>
                <c:pt idx="215">
                  <c:v>25224</c:v>
                </c:pt>
                <c:pt idx="216">
                  <c:v>13771</c:v>
                </c:pt>
                <c:pt idx="217">
                  <c:v>63629</c:v>
                </c:pt>
                <c:pt idx="218">
                  <c:v>172394</c:v>
                </c:pt>
                <c:pt idx="219">
                  <c:v>145923</c:v>
                </c:pt>
                <c:pt idx="220">
                  <c:v>113723</c:v>
                </c:pt>
                <c:pt idx="221">
                  <c:v>64006</c:v>
                </c:pt>
                <c:pt idx="222">
                  <c:v>39852</c:v>
                </c:pt>
                <c:pt idx="223">
                  <c:v>47065</c:v>
                </c:pt>
                <c:pt idx="224">
                  <c:v>221916</c:v>
                </c:pt>
                <c:pt idx="225">
                  <c:v>151139</c:v>
                </c:pt>
                <c:pt idx="226">
                  <c:v>190894</c:v>
                </c:pt>
                <c:pt idx="227">
                  <c:v>77984</c:v>
                </c:pt>
                <c:pt idx="228">
                  <c:v>252050</c:v>
                </c:pt>
                <c:pt idx="229">
                  <c:v>164108</c:v>
                </c:pt>
                <c:pt idx="230">
                  <c:v>148067</c:v>
                </c:pt>
                <c:pt idx="231">
                  <c:v>80993</c:v>
                </c:pt>
                <c:pt idx="232">
                  <c:v>182620</c:v>
                </c:pt>
                <c:pt idx="233">
                  <c:v>75872</c:v>
                </c:pt>
                <c:pt idx="234">
                  <c:v>72783</c:v>
                </c:pt>
                <c:pt idx="235">
                  <c:v>139458</c:v>
                </c:pt>
                <c:pt idx="236">
                  <c:v>54192</c:v>
                </c:pt>
                <c:pt idx="237">
                  <c:v>66534</c:v>
                </c:pt>
                <c:pt idx="238">
                  <c:v>241384</c:v>
                </c:pt>
                <c:pt idx="239">
                  <c:v>24608</c:v>
                </c:pt>
                <c:pt idx="240">
                  <c:v>19499</c:v>
                </c:pt>
                <c:pt idx="241">
                  <c:v>248110</c:v>
                </c:pt>
                <c:pt idx="242">
                  <c:v>86586</c:v>
                </c:pt>
                <c:pt idx="243">
                  <c:v>91706</c:v>
                </c:pt>
                <c:pt idx="244">
                  <c:v>229202</c:v>
                </c:pt>
                <c:pt idx="245">
                  <c:v>115249</c:v>
                </c:pt>
                <c:pt idx="246">
                  <c:v>76733</c:v>
                </c:pt>
                <c:pt idx="247">
                  <c:v>165078</c:v>
                </c:pt>
                <c:pt idx="248">
                  <c:v>102786</c:v>
                </c:pt>
                <c:pt idx="249">
                  <c:v>137892</c:v>
                </c:pt>
                <c:pt idx="250">
                  <c:v>249001</c:v>
                </c:pt>
                <c:pt idx="251">
                  <c:v>177780</c:v>
                </c:pt>
                <c:pt idx="252">
                  <c:v>69540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A-4647-8788-1D9239439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471432"/>
        <c:axId val="388471040"/>
      </c:lineChart>
      <c:lineChart>
        <c:grouping val="standard"/>
        <c:varyColors val="0"/>
        <c:ser>
          <c:idx val="3"/>
          <c:order val="0"/>
          <c:tx>
            <c:strRef>
              <c:f>'Close vs Volume'!$E$1</c:f>
              <c:strCache>
                <c:ptCount val="1"/>
                <c:pt idx="0">
                  <c:v>Close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'Close vs Volume'!$A$2:$A$254</c:f>
              <c:numCache>
                <c:formatCode>m/d/yyyy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'Close vs Volume'!$E$2:$E$254</c:f>
              <c:numCache>
                <c:formatCode>#,##0.00##</c:formatCode>
                <c:ptCount val="253"/>
                <c:pt idx="0">
                  <c:v>4.95</c:v>
                </c:pt>
                <c:pt idx="1">
                  <c:v>4.96</c:v>
                </c:pt>
                <c:pt idx="2">
                  <c:v>4.8099999999999996</c:v>
                </c:pt>
                <c:pt idx="3">
                  <c:v>4.84</c:v>
                </c:pt>
                <c:pt idx="4">
                  <c:v>4.82</c:v>
                </c:pt>
                <c:pt idx="5">
                  <c:v>4.8099999999999996</c:v>
                </c:pt>
                <c:pt idx="6">
                  <c:v>4.91</c:v>
                </c:pt>
                <c:pt idx="7">
                  <c:v>4.91</c:v>
                </c:pt>
                <c:pt idx="8">
                  <c:v>5</c:v>
                </c:pt>
                <c:pt idx="9">
                  <c:v>5.08</c:v>
                </c:pt>
                <c:pt idx="10">
                  <c:v>4.95</c:v>
                </c:pt>
                <c:pt idx="11">
                  <c:v>5.19</c:v>
                </c:pt>
                <c:pt idx="12">
                  <c:v>5.38</c:v>
                </c:pt>
                <c:pt idx="13">
                  <c:v>5.46</c:v>
                </c:pt>
                <c:pt idx="14">
                  <c:v>5.75</c:v>
                </c:pt>
                <c:pt idx="15">
                  <c:v>5.77</c:v>
                </c:pt>
                <c:pt idx="16">
                  <c:v>5.88</c:v>
                </c:pt>
                <c:pt idx="17">
                  <c:v>5.9</c:v>
                </c:pt>
                <c:pt idx="18">
                  <c:v>5.75</c:v>
                </c:pt>
                <c:pt idx="19">
                  <c:v>5.65</c:v>
                </c:pt>
                <c:pt idx="20">
                  <c:v>5.8</c:v>
                </c:pt>
                <c:pt idx="21">
                  <c:v>5.75</c:v>
                </c:pt>
                <c:pt idx="22">
                  <c:v>5.82</c:v>
                </c:pt>
                <c:pt idx="23">
                  <c:v>6.03</c:v>
                </c:pt>
                <c:pt idx="24">
                  <c:v>5.99</c:v>
                </c:pt>
                <c:pt idx="25">
                  <c:v>5.65</c:v>
                </c:pt>
                <c:pt idx="26">
                  <c:v>5.85</c:v>
                </c:pt>
                <c:pt idx="27">
                  <c:v>5.94</c:v>
                </c:pt>
                <c:pt idx="28">
                  <c:v>5.82</c:v>
                </c:pt>
                <c:pt idx="29">
                  <c:v>5.89</c:v>
                </c:pt>
                <c:pt idx="30">
                  <c:v>6.01</c:v>
                </c:pt>
                <c:pt idx="31">
                  <c:v>6.15</c:v>
                </c:pt>
                <c:pt idx="32">
                  <c:v>6.09</c:v>
                </c:pt>
                <c:pt idx="33">
                  <c:v>6.1</c:v>
                </c:pt>
                <c:pt idx="34">
                  <c:v>6.1</c:v>
                </c:pt>
                <c:pt idx="35">
                  <c:v>6.07</c:v>
                </c:pt>
                <c:pt idx="36">
                  <c:v>6.42</c:v>
                </c:pt>
                <c:pt idx="37">
                  <c:v>6.34</c:v>
                </c:pt>
                <c:pt idx="38">
                  <c:v>7.05</c:v>
                </c:pt>
                <c:pt idx="39">
                  <c:v>6.88</c:v>
                </c:pt>
                <c:pt idx="40">
                  <c:v>7</c:v>
                </c:pt>
                <c:pt idx="41">
                  <c:v>7</c:v>
                </c:pt>
                <c:pt idx="42">
                  <c:v>6.99</c:v>
                </c:pt>
                <c:pt idx="43">
                  <c:v>6.88</c:v>
                </c:pt>
                <c:pt idx="44">
                  <c:v>6.94</c:v>
                </c:pt>
                <c:pt idx="45">
                  <c:v>7</c:v>
                </c:pt>
                <c:pt idx="46">
                  <c:v>6.98</c:v>
                </c:pt>
                <c:pt idx="47">
                  <c:v>6.82</c:v>
                </c:pt>
                <c:pt idx="48">
                  <c:v>6.78</c:v>
                </c:pt>
                <c:pt idx="49">
                  <c:v>6.85</c:v>
                </c:pt>
                <c:pt idx="50">
                  <c:v>6.72</c:v>
                </c:pt>
                <c:pt idx="51">
                  <c:v>6.65</c:v>
                </c:pt>
                <c:pt idx="52">
                  <c:v>6.66</c:v>
                </c:pt>
                <c:pt idx="53">
                  <c:v>6.7</c:v>
                </c:pt>
                <c:pt idx="54">
                  <c:v>6.67</c:v>
                </c:pt>
                <c:pt idx="55">
                  <c:v>6.7</c:v>
                </c:pt>
                <c:pt idx="56">
                  <c:v>6.7</c:v>
                </c:pt>
                <c:pt idx="57">
                  <c:v>6.75</c:v>
                </c:pt>
                <c:pt idx="58">
                  <c:v>6.76</c:v>
                </c:pt>
                <c:pt idx="59">
                  <c:v>6.91</c:v>
                </c:pt>
                <c:pt idx="60">
                  <c:v>7.04</c:v>
                </c:pt>
                <c:pt idx="61">
                  <c:v>7.08</c:v>
                </c:pt>
                <c:pt idx="62">
                  <c:v>7.09</c:v>
                </c:pt>
                <c:pt idx="63">
                  <c:v>7.3</c:v>
                </c:pt>
                <c:pt idx="64">
                  <c:v>7.31</c:v>
                </c:pt>
                <c:pt idx="65">
                  <c:v>7.5</c:v>
                </c:pt>
                <c:pt idx="66">
                  <c:v>7.64</c:v>
                </c:pt>
                <c:pt idx="67">
                  <c:v>7.7</c:v>
                </c:pt>
                <c:pt idx="68">
                  <c:v>7.75</c:v>
                </c:pt>
                <c:pt idx="69">
                  <c:v>7.6</c:v>
                </c:pt>
                <c:pt idx="70">
                  <c:v>7.7</c:v>
                </c:pt>
                <c:pt idx="71">
                  <c:v>7.65</c:v>
                </c:pt>
                <c:pt idx="72">
                  <c:v>7.75</c:v>
                </c:pt>
                <c:pt idx="73">
                  <c:v>7.7</c:v>
                </c:pt>
                <c:pt idx="74">
                  <c:v>7.71</c:v>
                </c:pt>
                <c:pt idx="75">
                  <c:v>7.62</c:v>
                </c:pt>
                <c:pt idx="76">
                  <c:v>8.0299999999999994</c:v>
                </c:pt>
                <c:pt idx="77">
                  <c:v>8.1199999999999992</c:v>
                </c:pt>
                <c:pt idx="78">
                  <c:v>8.09</c:v>
                </c:pt>
                <c:pt idx="79">
                  <c:v>8.16</c:v>
                </c:pt>
                <c:pt idx="80">
                  <c:v>8.25</c:v>
                </c:pt>
                <c:pt idx="81">
                  <c:v>8.25</c:v>
                </c:pt>
                <c:pt idx="82">
                  <c:v>8.2100000000000009</c:v>
                </c:pt>
                <c:pt idx="83">
                  <c:v>7.96</c:v>
                </c:pt>
                <c:pt idx="84">
                  <c:v>7.98</c:v>
                </c:pt>
                <c:pt idx="85">
                  <c:v>8.19</c:v>
                </c:pt>
                <c:pt idx="86">
                  <c:v>8.33</c:v>
                </c:pt>
                <c:pt idx="87">
                  <c:v>7.99</c:v>
                </c:pt>
                <c:pt idx="88">
                  <c:v>7.88</c:v>
                </c:pt>
                <c:pt idx="89">
                  <c:v>7.8</c:v>
                </c:pt>
                <c:pt idx="90">
                  <c:v>7.65</c:v>
                </c:pt>
                <c:pt idx="91">
                  <c:v>7.64</c:v>
                </c:pt>
                <c:pt idx="92">
                  <c:v>7.68</c:v>
                </c:pt>
                <c:pt idx="93">
                  <c:v>7.61</c:v>
                </c:pt>
                <c:pt idx="94">
                  <c:v>7.73</c:v>
                </c:pt>
                <c:pt idx="95">
                  <c:v>7.73</c:v>
                </c:pt>
                <c:pt idx="96">
                  <c:v>7.83</c:v>
                </c:pt>
                <c:pt idx="97">
                  <c:v>7.78</c:v>
                </c:pt>
                <c:pt idx="98">
                  <c:v>7.75</c:v>
                </c:pt>
                <c:pt idx="99">
                  <c:v>7.92</c:v>
                </c:pt>
                <c:pt idx="100">
                  <c:v>7.91</c:v>
                </c:pt>
                <c:pt idx="101">
                  <c:v>8.01</c:v>
                </c:pt>
                <c:pt idx="102">
                  <c:v>7.77</c:v>
                </c:pt>
                <c:pt idx="103">
                  <c:v>7.46</c:v>
                </c:pt>
                <c:pt idx="104">
                  <c:v>7.44</c:v>
                </c:pt>
                <c:pt idx="105">
                  <c:v>7.46</c:v>
                </c:pt>
                <c:pt idx="106">
                  <c:v>7.66</c:v>
                </c:pt>
                <c:pt idx="107">
                  <c:v>7.66</c:v>
                </c:pt>
                <c:pt idx="108">
                  <c:v>7.55</c:v>
                </c:pt>
                <c:pt idx="109">
                  <c:v>7.8</c:v>
                </c:pt>
                <c:pt idx="110">
                  <c:v>7.66</c:v>
                </c:pt>
                <c:pt idx="111">
                  <c:v>7.9</c:v>
                </c:pt>
                <c:pt idx="112">
                  <c:v>8.08</c:v>
                </c:pt>
                <c:pt idx="113">
                  <c:v>8.14</c:v>
                </c:pt>
                <c:pt idx="114">
                  <c:v>8.06</c:v>
                </c:pt>
                <c:pt idx="115">
                  <c:v>8</c:v>
                </c:pt>
                <c:pt idx="116">
                  <c:v>7.82</c:v>
                </c:pt>
                <c:pt idx="117">
                  <c:v>7.74</c:v>
                </c:pt>
                <c:pt idx="118">
                  <c:v>7.79</c:v>
                </c:pt>
                <c:pt idx="119">
                  <c:v>7.73</c:v>
                </c:pt>
                <c:pt idx="120">
                  <c:v>7.78</c:v>
                </c:pt>
                <c:pt idx="121">
                  <c:v>8.02</c:v>
                </c:pt>
                <c:pt idx="122">
                  <c:v>8.0399999999999991</c:v>
                </c:pt>
                <c:pt idx="123">
                  <c:v>7.94</c:v>
                </c:pt>
                <c:pt idx="124">
                  <c:v>7.97</c:v>
                </c:pt>
                <c:pt idx="125">
                  <c:v>8.02</c:v>
                </c:pt>
                <c:pt idx="126">
                  <c:v>8.14</c:v>
                </c:pt>
                <c:pt idx="127">
                  <c:v>8.39</c:v>
                </c:pt>
                <c:pt idx="128">
                  <c:v>8.31</c:v>
                </c:pt>
                <c:pt idx="129">
                  <c:v>8.58</c:v>
                </c:pt>
                <c:pt idx="130">
                  <c:v>8.1</c:v>
                </c:pt>
                <c:pt idx="131">
                  <c:v>8.18</c:v>
                </c:pt>
                <c:pt idx="132">
                  <c:v>8.25</c:v>
                </c:pt>
                <c:pt idx="133">
                  <c:v>8.44</c:v>
                </c:pt>
                <c:pt idx="134">
                  <c:v>8.3800000000000008</c:v>
                </c:pt>
                <c:pt idx="135">
                  <c:v>8.43</c:v>
                </c:pt>
                <c:pt idx="136">
                  <c:v>8.4</c:v>
                </c:pt>
                <c:pt idx="137">
                  <c:v>8.11</c:v>
                </c:pt>
                <c:pt idx="138">
                  <c:v>8.0299999999999994</c:v>
                </c:pt>
                <c:pt idx="139">
                  <c:v>7.8</c:v>
                </c:pt>
                <c:pt idx="140">
                  <c:v>7.76</c:v>
                </c:pt>
                <c:pt idx="141">
                  <c:v>7.72</c:v>
                </c:pt>
                <c:pt idx="142">
                  <c:v>7.91</c:v>
                </c:pt>
                <c:pt idx="143">
                  <c:v>8.1</c:v>
                </c:pt>
                <c:pt idx="144">
                  <c:v>8.27</c:v>
                </c:pt>
                <c:pt idx="145">
                  <c:v>8.1</c:v>
                </c:pt>
                <c:pt idx="146">
                  <c:v>8.4</c:v>
                </c:pt>
                <c:pt idx="147">
                  <c:v>8.39</c:v>
                </c:pt>
                <c:pt idx="148">
                  <c:v>8.4499999999999993</c:v>
                </c:pt>
                <c:pt idx="149">
                  <c:v>8.4</c:v>
                </c:pt>
                <c:pt idx="150">
                  <c:v>8.52</c:v>
                </c:pt>
                <c:pt idx="151">
                  <c:v>8.17</c:v>
                </c:pt>
                <c:pt idx="152">
                  <c:v>8.11</c:v>
                </c:pt>
                <c:pt idx="153">
                  <c:v>8.09</c:v>
                </c:pt>
                <c:pt idx="154">
                  <c:v>8.3000000000000007</c:v>
                </c:pt>
                <c:pt idx="155">
                  <c:v>8.4700000000000006</c:v>
                </c:pt>
                <c:pt idx="156">
                  <c:v>8.19</c:v>
                </c:pt>
                <c:pt idx="157">
                  <c:v>8.19</c:v>
                </c:pt>
                <c:pt idx="158">
                  <c:v>8.16</c:v>
                </c:pt>
                <c:pt idx="159">
                  <c:v>8.16</c:v>
                </c:pt>
                <c:pt idx="160">
                  <c:v>8.3000000000000007</c:v>
                </c:pt>
                <c:pt idx="161">
                  <c:v>8.4</c:v>
                </c:pt>
                <c:pt idx="162">
                  <c:v>8.43</c:v>
                </c:pt>
                <c:pt idx="163">
                  <c:v>8.48</c:v>
                </c:pt>
                <c:pt idx="164">
                  <c:v>9.3000000000000007</c:v>
                </c:pt>
                <c:pt idx="165">
                  <c:v>9.17</c:v>
                </c:pt>
                <c:pt idx="166">
                  <c:v>8.85</c:v>
                </c:pt>
                <c:pt idx="167">
                  <c:v>8.69</c:v>
                </c:pt>
                <c:pt idx="168">
                  <c:v>8.86</c:v>
                </c:pt>
                <c:pt idx="169">
                  <c:v>8.94</c:v>
                </c:pt>
                <c:pt idx="170">
                  <c:v>8.6999999999999993</c:v>
                </c:pt>
                <c:pt idx="171">
                  <c:v>8.4499999999999993</c:v>
                </c:pt>
                <c:pt idx="172">
                  <c:v>8.36</c:v>
                </c:pt>
                <c:pt idx="173">
                  <c:v>8.4</c:v>
                </c:pt>
                <c:pt idx="174">
                  <c:v>8.14</c:v>
                </c:pt>
                <c:pt idx="175">
                  <c:v>7.93</c:v>
                </c:pt>
                <c:pt idx="176">
                  <c:v>8.02</c:v>
                </c:pt>
                <c:pt idx="177">
                  <c:v>7.55</c:v>
                </c:pt>
                <c:pt idx="178">
                  <c:v>7.42</c:v>
                </c:pt>
                <c:pt idx="179">
                  <c:v>7.4</c:v>
                </c:pt>
                <c:pt idx="180">
                  <c:v>7.4</c:v>
                </c:pt>
                <c:pt idx="181">
                  <c:v>7.65</c:v>
                </c:pt>
                <c:pt idx="182">
                  <c:v>7.9</c:v>
                </c:pt>
                <c:pt idx="183">
                  <c:v>7.49</c:v>
                </c:pt>
                <c:pt idx="184">
                  <c:v>7.5</c:v>
                </c:pt>
                <c:pt idx="185">
                  <c:v>7.53</c:v>
                </c:pt>
                <c:pt idx="186">
                  <c:v>7.59</c:v>
                </c:pt>
                <c:pt idx="187">
                  <c:v>7.95</c:v>
                </c:pt>
                <c:pt idx="188">
                  <c:v>8.0399999999999991</c:v>
                </c:pt>
                <c:pt idx="189">
                  <c:v>8</c:v>
                </c:pt>
                <c:pt idx="190">
                  <c:v>8.1199999999999992</c:v>
                </c:pt>
                <c:pt idx="191">
                  <c:v>7.72</c:v>
                </c:pt>
                <c:pt idx="192">
                  <c:v>7.46</c:v>
                </c:pt>
                <c:pt idx="193">
                  <c:v>7.4</c:v>
                </c:pt>
                <c:pt idx="194">
                  <c:v>7.53</c:v>
                </c:pt>
                <c:pt idx="195">
                  <c:v>7.2</c:v>
                </c:pt>
                <c:pt idx="196">
                  <c:v>6.95</c:v>
                </c:pt>
                <c:pt idx="197">
                  <c:v>6.91</c:v>
                </c:pt>
                <c:pt idx="198">
                  <c:v>6.86</c:v>
                </c:pt>
                <c:pt idx="199">
                  <c:v>7.45</c:v>
                </c:pt>
                <c:pt idx="200">
                  <c:v>7.2</c:v>
                </c:pt>
                <c:pt idx="201">
                  <c:v>7.34</c:v>
                </c:pt>
                <c:pt idx="202">
                  <c:v>7.46</c:v>
                </c:pt>
                <c:pt idx="203">
                  <c:v>7.5</c:v>
                </c:pt>
                <c:pt idx="204">
                  <c:v>7.45</c:v>
                </c:pt>
                <c:pt idx="205">
                  <c:v>7.34</c:v>
                </c:pt>
                <c:pt idx="206">
                  <c:v>7.76</c:v>
                </c:pt>
                <c:pt idx="207">
                  <c:v>7.65</c:v>
                </c:pt>
                <c:pt idx="208">
                  <c:v>7.65</c:v>
                </c:pt>
                <c:pt idx="209">
                  <c:v>7.87</c:v>
                </c:pt>
                <c:pt idx="210">
                  <c:v>7.74</c:v>
                </c:pt>
                <c:pt idx="211">
                  <c:v>7.65</c:v>
                </c:pt>
                <c:pt idx="212">
                  <c:v>7.81</c:v>
                </c:pt>
                <c:pt idx="213">
                  <c:v>7.67</c:v>
                </c:pt>
                <c:pt idx="214">
                  <c:v>7.79</c:v>
                </c:pt>
                <c:pt idx="215">
                  <c:v>7.86</c:v>
                </c:pt>
                <c:pt idx="216">
                  <c:v>7.9</c:v>
                </c:pt>
                <c:pt idx="217">
                  <c:v>7.94</c:v>
                </c:pt>
                <c:pt idx="218">
                  <c:v>8.17</c:v>
                </c:pt>
                <c:pt idx="219">
                  <c:v>8.64</c:v>
                </c:pt>
                <c:pt idx="220">
                  <c:v>8.2899999999999991</c:v>
                </c:pt>
                <c:pt idx="221">
                  <c:v>8.4</c:v>
                </c:pt>
                <c:pt idx="222">
                  <c:v>8.35</c:v>
                </c:pt>
                <c:pt idx="223">
                  <c:v>8.16</c:v>
                </c:pt>
                <c:pt idx="224">
                  <c:v>8.18</c:v>
                </c:pt>
                <c:pt idx="225">
                  <c:v>7.71</c:v>
                </c:pt>
                <c:pt idx="226">
                  <c:v>7.61</c:v>
                </c:pt>
                <c:pt idx="227">
                  <c:v>7.65</c:v>
                </c:pt>
                <c:pt idx="228">
                  <c:v>7.42</c:v>
                </c:pt>
                <c:pt idx="229">
                  <c:v>7.28</c:v>
                </c:pt>
                <c:pt idx="230">
                  <c:v>7.49</c:v>
                </c:pt>
                <c:pt idx="231">
                  <c:v>7.51</c:v>
                </c:pt>
                <c:pt idx="232">
                  <c:v>7.77</c:v>
                </c:pt>
                <c:pt idx="233">
                  <c:v>7.58</c:v>
                </c:pt>
                <c:pt idx="234">
                  <c:v>7.6</c:v>
                </c:pt>
                <c:pt idx="235">
                  <c:v>7.88</c:v>
                </c:pt>
                <c:pt idx="236">
                  <c:v>7.85</c:v>
                </c:pt>
                <c:pt idx="237">
                  <c:v>7.85</c:v>
                </c:pt>
                <c:pt idx="238">
                  <c:v>7.84</c:v>
                </c:pt>
                <c:pt idx="239">
                  <c:v>7.76</c:v>
                </c:pt>
                <c:pt idx="240">
                  <c:v>7.58</c:v>
                </c:pt>
                <c:pt idx="241">
                  <c:v>7.4</c:v>
                </c:pt>
                <c:pt idx="242">
                  <c:v>7.46</c:v>
                </c:pt>
                <c:pt idx="243">
                  <c:v>7.78</c:v>
                </c:pt>
                <c:pt idx="244">
                  <c:v>7.59</c:v>
                </c:pt>
                <c:pt idx="245">
                  <c:v>7.43</c:v>
                </c:pt>
                <c:pt idx="246">
                  <c:v>7.38</c:v>
                </c:pt>
                <c:pt idx="247">
                  <c:v>7.36</c:v>
                </c:pt>
                <c:pt idx="248">
                  <c:v>7.27</c:v>
                </c:pt>
                <c:pt idx="249">
                  <c:v>7.35</c:v>
                </c:pt>
                <c:pt idx="250">
                  <c:v>7.44</c:v>
                </c:pt>
                <c:pt idx="251">
                  <c:v>7.61</c:v>
                </c:pt>
                <c:pt idx="252">
                  <c:v>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A-4647-8788-1D9239439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471824"/>
        <c:axId val="388469472"/>
      </c:lineChart>
      <c:dateAx>
        <c:axId val="388471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471040"/>
        <c:crosses val="autoZero"/>
        <c:auto val="1"/>
        <c:lblOffset val="100"/>
        <c:baseTimeUnit val="days"/>
      </c:dateAx>
      <c:valAx>
        <c:axId val="3884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471432"/>
        <c:crosses val="autoZero"/>
        <c:crossBetween val="between"/>
      </c:valAx>
      <c:valAx>
        <c:axId val="388469472"/>
        <c:scaling>
          <c:orientation val="minMax"/>
          <c:min val="4"/>
        </c:scaling>
        <c:delete val="0"/>
        <c:axPos val="r"/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471824"/>
        <c:crosses val="max"/>
        <c:crossBetween val="between"/>
      </c:valAx>
      <c:dateAx>
        <c:axId val="3884718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8846947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Stock Chart</a:t>
            </a:r>
          </a:p>
          <a:p>
            <a:pPr>
              <a:defRPr sz="3200"/>
            </a:pP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92868805550185E-2"/>
          <c:y val="5.9729429035639443E-2"/>
          <c:w val="0.92441961284325791"/>
          <c:h val="0.83056014126716826"/>
        </c:manualLayout>
      </c:layout>
      <c:stockChart>
        <c:ser>
          <c:idx val="0"/>
          <c:order val="0"/>
          <c:tx>
            <c:strRef>
              <c:f>'Stock Chart'!$B$1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'Stock Chart'!$A:$A</c:f>
              <c:strCache>
                <c:ptCount val="254"/>
                <c:pt idx="0">
                  <c:v>Date</c:v>
                </c:pt>
                <c:pt idx="1">
                  <c:v>7/1/2024</c:v>
                </c:pt>
                <c:pt idx="2">
                  <c:v>7/2/2024</c:v>
                </c:pt>
                <c:pt idx="3">
                  <c:v>7/3/2024</c:v>
                </c:pt>
                <c:pt idx="4">
                  <c:v>7/4/2024</c:v>
                </c:pt>
                <c:pt idx="5">
                  <c:v>7/5/2024</c:v>
                </c:pt>
                <c:pt idx="6">
                  <c:v>7/8/2024</c:v>
                </c:pt>
                <c:pt idx="7">
                  <c:v>7/9/2024</c:v>
                </c:pt>
                <c:pt idx="8">
                  <c:v>7/10/2024</c:v>
                </c:pt>
                <c:pt idx="9">
                  <c:v>7/11/2024</c:v>
                </c:pt>
                <c:pt idx="10">
                  <c:v>7/12/2024</c:v>
                </c:pt>
                <c:pt idx="11">
                  <c:v>7/15/2024</c:v>
                </c:pt>
                <c:pt idx="12">
                  <c:v>7/16/2024</c:v>
                </c:pt>
                <c:pt idx="13">
                  <c:v>7/17/2024</c:v>
                </c:pt>
                <c:pt idx="14">
                  <c:v>7/18/2024</c:v>
                </c:pt>
                <c:pt idx="15">
                  <c:v>7/19/2024</c:v>
                </c:pt>
                <c:pt idx="16">
                  <c:v>7/22/2024</c:v>
                </c:pt>
                <c:pt idx="17">
                  <c:v>7/23/2024</c:v>
                </c:pt>
                <c:pt idx="18">
                  <c:v>7/24/2024</c:v>
                </c:pt>
                <c:pt idx="19">
                  <c:v>7/25/2024</c:v>
                </c:pt>
                <c:pt idx="20">
                  <c:v>7/26/2024</c:v>
                </c:pt>
                <c:pt idx="21">
                  <c:v>7/29/2024</c:v>
                </c:pt>
                <c:pt idx="22">
                  <c:v>7/30/2024</c:v>
                </c:pt>
                <c:pt idx="23">
                  <c:v>7/31/2024</c:v>
                </c:pt>
                <c:pt idx="24">
                  <c:v>8/1/2024</c:v>
                </c:pt>
                <c:pt idx="25">
                  <c:v>8/2/2024</c:v>
                </c:pt>
                <c:pt idx="26">
                  <c:v>8/5/2024</c:v>
                </c:pt>
                <c:pt idx="27">
                  <c:v>8/6/2024</c:v>
                </c:pt>
                <c:pt idx="28">
                  <c:v>8/7/2024</c:v>
                </c:pt>
                <c:pt idx="29">
                  <c:v>8/8/2024</c:v>
                </c:pt>
                <c:pt idx="30">
                  <c:v>8/9/2024</c:v>
                </c:pt>
                <c:pt idx="31">
                  <c:v>8/12/2024</c:v>
                </c:pt>
                <c:pt idx="32">
                  <c:v>8/13/2024</c:v>
                </c:pt>
                <c:pt idx="33">
                  <c:v>8/14/2024</c:v>
                </c:pt>
                <c:pt idx="34">
                  <c:v>8/15/2024</c:v>
                </c:pt>
                <c:pt idx="35">
                  <c:v>8/16/2024</c:v>
                </c:pt>
                <c:pt idx="36">
                  <c:v>8/19/2024</c:v>
                </c:pt>
                <c:pt idx="37">
                  <c:v>8/20/2024</c:v>
                </c:pt>
                <c:pt idx="38">
                  <c:v>8/21/2024</c:v>
                </c:pt>
                <c:pt idx="39">
                  <c:v>8/22/2024</c:v>
                </c:pt>
                <c:pt idx="40">
                  <c:v>8/23/2024</c:v>
                </c:pt>
                <c:pt idx="41">
                  <c:v>8/26/2024</c:v>
                </c:pt>
                <c:pt idx="42">
                  <c:v>8/27/2024</c:v>
                </c:pt>
                <c:pt idx="43">
                  <c:v>8/28/2024</c:v>
                </c:pt>
                <c:pt idx="44">
                  <c:v>8/29/2024</c:v>
                </c:pt>
                <c:pt idx="45">
                  <c:v>8/30/2024</c:v>
                </c:pt>
                <c:pt idx="46">
                  <c:v>9/2/2024</c:v>
                </c:pt>
                <c:pt idx="47">
                  <c:v>9/3/2024</c:v>
                </c:pt>
                <c:pt idx="48">
                  <c:v>9/4/2024</c:v>
                </c:pt>
                <c:pt idx="49">
                  <c:v>9/5/2024</c:v>
                </c:pt>
                <c:pt idx="50">
                  <c:v>9/6/2024</c:v>
                </c:pt>
                <c:pt idx="51">
                  <c:v>9/9/2024</c:v>
                </c:pt>
                <c:pt idx="52">
                  <c:v>9/10/2024</c:v>
                </c:pt>
                <c:pt idx="53">
                  <c:v>9/11/2024</c:v>
                </c:pt>
                <c:pt idx="54">
                  <c:v>9/12/2024</c:v>
                </c:pt>
                <c:pt idx="55">
                  <c:v>9/13/2024</c:v>
                </c:pt>
                <c:pt idx="56">
                  <c:v>9/16/2024</c:v>
                </c:pt>
                <c:pt idx="57">
                  <c:v>9/17/2024</c:v>
                </c:pt>
                <c:pt idx="58">
                  <c:v>9/18/2024</c:v>
                </c:pt>
                <c:pt idx="59">
                  <c:v>9/19/2024</c:v>
                </c:pt>
                <c:pt idx="60">
                  <c:v>9/20/2024</c:v>
                </c:pt>
                <c:pt idx="61">
                  <c:v>9/23/2024</c:v>
                </c:pt>
                <c:pt idx="62">
                  <c:v>9/24/2024</c:v>
                </c:pt>
                <c:pt idx="63">
                  <c:v>9/25/2024</c:v>
                </c:pt>
                <c:pt idx="64">
                  <c:v>9/26/2024</c:v>
                </c:pt>
                <c:pt idx="65">
                  <c:v>9/27/2024</c:v>
                </c:pt>
                <c:pt idx="66">
                  <c:v>9/30/2024</c:v>
                </c:pt>
                <c:pt idx="67">
                  <c:v>10/1/2024</c:v>
                </c:pt>
                <c:pt idx="68">
                  <c:v>10/2/2024</c:v>
                </c:pt>
                <c:pt idx="69">
                  <c:v>10/3/2024</c:v>
                </c:pt>
                <c:pt idx="70">
                  <c:v>10/4/2024</c:v>
                </c:pt>
                <c:pt idx="71">
                  <c:v>10/7/2024</c:v>
                </c:pt>
                <c:pt idx="72">
                  <c:v>10/8/2024</c:v>
                </c:pt>
                <c:pt idx="73">
                  <c:v>10/9/2024</c:v>
                </c:pt>
                <c:pt idx="74">
                  <c:v>10/10/2024</c:v>
                </c:pt>
                <c:pt idx="75">
                  <c:v>10/11/2024</c:v>
                </c:pt>
                <c:pt idx="76">
                  <c:v>10/14/2024</c:v>
                </c:pt>
                <c:pt idx="77">
                  <c:v>10/15/2024</c:v>
                </c:pt>
                <c:pt idx="78">
                  <c:v>10/16/2024</c:v>
                </c:pt>
                <c:pt idx="79">
                  <c:v>10/17/2024</c:v>
                </c:pt>
                <c:pt idx="80">
                  <c:v>10/18/2024</c:v>
                </c:pt>
                <c:pt idx="81">
                  <c:v>10/21/2024</c:v>
                </c:pt>
                <c:pt idx="82">
                  <c:v>10/22/2024</c:v>
                </c:pt>
                <c:pt idx="83">
                  <c:v>10/23/2024</c:v>
                </c:pt>
                <c:pt idx="84">
                  <c:v>10/24/2024</c:v>
                </c:pt>
                <c:pt idx="85">
                  <c:v>10/25/2024</c:v>
                </c:pt>
                <c:pt idx="86">
                  <c:v>10/28/2024</c:v>
                </c:pt>
                <c:pt idx="87">
                  <c:v>10/29/2024</c:v>
                </c:pt>
                <c:pt idx="88">
                  <c:v>10/30/2024</c:v>
                </c:pt>
                <c:pt idx="89">
                  <c:v>10/31/2024</c:v>
                </c:pt>
                <c:pt idx="90">
                  <c:v>11/1/2024</c:v>
                </c:pt>
                <c:pt idx="91">
                  <c:v>11/4/2024</c:v>
                </c:pt>
                <c:pt idx="92">
                  <c:v>11/5/2024</c:v>
                </c:pt>
                <c:pt idx="93">
                  <c:v>11/6/2024</c:v>
                </c:pt>
                <c:pt idx="94">
                  <c:v>11/7/2024</c:v>
                </c:pt>
                <c:pt idx="95">
                  <c:v>11/8/2024</c:v>
                </c:pt>
                <c:pt idx="96">
                  <c:v>11/11/2024</c:v>
                </c:pt>
                <c:pt idx="97">
                  <c:v>11/12/2024</c:v>
                </c:pt>
                <c:pt idx="98">
                  <c:v>11/13/2024</c:v>
                </c:pt>
                <c:pt idx="99">
                  <c:v>11/14/2024</c:v>
                </c:pt>
                <c:pt idx="100">
                  <c:v>11/15/2024</c:v>
                </c:pt>
                <c:pt idx="101">
                  <c:v>11/18/2024</c:v>
                </c:pt>
                <c:pt idx="102">
                  <c:v>11/19/2024</c:v>
                </c:pt>
                <c:pt idx="103">
                  <c:v>11/20/2024</c:v>
                </c:pt>
                <c:pt idx="104">
                  <c:v>11/21/2024</c:v>
                </c:pt>
                <c:pt idx="105">
                  <c:v>11/22/2024</c:v>
                </c:pt>
                <c:pt idx="106">
                  <c:v>11/25/2024</c:v>
                </c:pt>
                <c:pt idx="107">
                  <c:v>11/26/2024</c:v>
                </c:pt>
                <c:pt idx="108">
                  <c:v>11/27/2024</c:v>
                </c:pt>
                <c:pt idx="109">
                  <c:v>11/28/2024</c:v>
                </c:pt>
                <c:pt idx="110">
                  <c:v>11/29/2024</c:v>
                </c:pt>
                <c:pt idx="111">
                  <c:v>12/2/2024</c:v>
                </c:pt>
                <c:pt idx="112">
                  <c:v>12/3/2024</c:v>
                </c:pt>
                <c:pt idx="113">
                  <c:v>12/4/2024</c:v>
                </c:pt>
                <c:pt idx="114">
                  <c:v>12/5/2024</c:v>
                </c:pt>
                <c:pt idx="115">
                  <c:v>12/6/2024</c:v>
                </c:pt>
                <c:pt idx="116">
                  <c:v>12/9/2024</c:v>
                </c:pt>
                <c:pt idx="117">
                  <c:v>12/10/2024</c:v>
                </c:pt>
                <c:pt idx="118">
                  <c:v>12/11/2024</c:v>
                </c:pt>
                <c:pt idx="119">
                  <c:v>12/12/2024</c:v>
                </c:pt>
                <c:pt idx="120">
                  <c:v>12/13/2024</c:v>
                </c:pt>
                <c:pt idx="121">
                  <c:v>12/16/2024</c:v>
                </c:pt>
                <c:pt idx="122">
                  <c:v>12/17/2024</c:v>
                </c:pt>
                <c:pt idx="123">
                  <c:v>12/18/2024</c:v>
                </c:pt>
                <c:pt idx="124">
                  <c:v>12/19/2024</c:v>
                </c:pt>
                <c:pt idx="125">
                  <c:v>12/20/2024</c:v>
                </c:pt>
                <c:pt idx="126">
                  <c:v>12/23/2024</c:v>
                </c:pt>
                <c:pt idx="127">
                  <c:v>12/24/2024</c:v>
                </c:pt>
                <c:pt idx="128">
                  <c:v>12/27/2024</c:v>
                </c:pt>
                <c:pt idx="129">
                  <c:v>12/30/2024</c:v>
                </c:pt>
                <c:pt idx="130">
                  <c:v>12/31/2024</c:v>
                </c:pt>
                <c:pt idx="131">
                  <c:v>1/2/2025</c:v>
                </c:pt>
                <c:pt idx="132">
                  <c:v>1/3/2025</c:v>
                </c:pt>
                <c:pt idx="133">
                  <c:v>1/6/2025</c:v>
                </c:pt>
                <c:pt idx="134">
                  <c:v>1/7/2025</c:v>
                </c:pt>
                <c:pt idx="135">
                  <c:v>1/8/2025</c:v>
                </c:pt>
                <c:pt idx="136">
                  <c:v>1/9/2025</c:v>
                </c:pt>
                <c:pt idx="137">
                  <c:v>1/10/2025</c:v>
                </c:pt>
                <c:pt idx="138">
                  <c:v>1/13/2025</c:v>
                </c:pt>
                <c:pt idx="139">
                  <c:v>1/14/2025</c:v>
                </c:pt>
                <c:pt idx="140">
                  <c:v>1/15/2025</c:v>
                </c:pt>
                <c:pt idx="141">
                  <c:v>1/16/2025</c:v>
                </c:pt>
                <c:pt idx="142">
                  <c:v>1/17/2025</c:v>
                </c:pt>
                <c:pt idx="143">
                  <c:v>1/20/2025</c:v>
                </c:pt>
                <c:pt idx="144">
                  <c:v>1/21/2025</c:v>
                </c:pt>
                <c:pt idx="145">
                  <c:v>1/22/2025</c:v>
                </c:pt>
                <c:pt idx="146">
                  <c:v>1/23/2025</c:v>
                </c:pt>
                <c:pt idx="147">
                  <c:v>1/24/2025</c:v>
                </c:pt>
                <c:pt idx="148">
                  <c:v>1/28/2025</c:v>
                </c:pt>
                <c:pt idx="149">
                  <c:v>1/29/2025</c:v>
                </c:pt>
                <c:pt idx="150">
                  <c:v>1/30/2025</c:v>
                </c:pt>
                <c:pt idx="151">
                  <c:v>1/31/2025</c:v>
                </c:pt>
                <c:pt idx="152">
                  <c:v>2/3/2025</c:v>
                </c:pt>
                <c:pt idx="153">
                  <c:v>2/4/2025</c:v>
                </c:pt>
                <c:pt idx="154">
                  <c:v>2/5/2025</c:v>
                </c:pt>
                <c:pt idx="155">
                  <c:v>2/6/2025</c:v>
                </c:pt>
                <c:pt idx="156">
                  <c:v>2/7/2025</c:v>
                </c:pt>
                <c:pt idx="157">
                  <c:v>2/10/2025</c:v>
                </c:pt>
                <c:pt idx="158">
                  <c:v>2/11/2025</c:v>
                </c:pt>
                <c:pt idx="159">
                  <c:v>2/12/2025</c:v>
                </c:pt>
                <c:pt idx="160">
                  <c:v>2/13/2025</c:v>
                </c:pt>
                <c:pt idx="161">
                  <c:v>2/14/2025</c:v>
                </c:pt>
                <c:pt idx="162">
                  <c:v>2/17/2025</c:v>
                </c:pt>
                <c:pt idx="163">
                  <c:v>2/18/2025</c:v>
                </c:pt>
                <c:pt idx="164">
                  <c:v>2/19/2025</c:v>
                </c:pt>
                <c:pt idx="165">
                  <c:v>2/20/2025</c:v>
                </c:pt>
                <c:pt idx="166">
                  <c:v>2/21/2025</c:v>
                </c:pt>
                <c:pt idx="167">
                  <c:v>2/24/2025</c:v>
                </c:pt>
                <c:pt idx="168">
                  <c:v>2/25/2025</c:v>
                </c:pt>
                <c:pt idx="169">
                  <c:v>2/26/2025</c:v>
                </c:pt>
                <c:pt idx="170">
                  <c:v>2/27/2025</c:v>
                </c:pt>
                <c:pt idx="171">
                  <c:v>2/28/2025</c:v>
                </c:pt>
                <c:pt idx="172">
                  <c:v>3/3/2025</c:v>
                </c:pt>
                <c:pt idx="173">
                  <c:v>3/4/2025</c:v>
                </c:pt>
                <c:pt idx="174">
                  <c:v>3/5/2025</c:v>
                </c:pt>
                <c:pt idx="175">
                  <c:v>3/6/2025</c:v>
                </c:pt>
                <c:pt idx="176">
                  <c:v>3/7/2025</c:v>
                </c:pt>
                <c:pt idx="177">
                  <c:v>3/10/2025</c:v>
                </c:pt>
                <c:pt idx="178">
                  <c:v>3/11/2025</c:v>
                </c:pt>
                <c:pt idx="179">
                  <c:v>3/12/2025</c:v>
                </c:pt>
                <c:pt idx="180">
                  <c:v>3/13/2025</c:v>
                </c:pt>
                <c:pt idx="181">
                  <c:v>3/14/2025</c:v>
                </c:pt>
                <c:pt idx="182">
                  <c:v>3/17/2025</c:v>
                </c:pt>
                <c:pt idx="183">
                  <c:v>3/18/2025</c:v>
                </c:pt>
                <c:pt idx="184">
                  <c:v>3/19/2025</c:v>
                </c:pt>
                <c:pt idx="185">
                  <c:v>3/20/2025</c:v>
                </c:pt>
                <c:pt idx="186">
                  <c:v>3/21/2025</c:v>
                </c:pt>
                <c:pt idx="187">
                  <c:v>3/24/2025</c:v>
                </c:pt>
                <c:pt idx="188">
                  <c:v>3/25/2025</c:v>
                </c:pt>
                <c:pt idx="189">
                  <c:v>3/26/2025</c:v>
                </c:pt>
                <c:pt idx="190">
                  <c:v>3/27/2025</c:v>
                </c:pt>
                <c:pt idx="191">
                  <c:v>3/28/2025</c:v>
                </c:pt>
                <c:pt idx="192">
                  <c:v>3/31/2025</c:v>
                </c:pt>
                <c:pt idx="193">
                  <c:v>4/1/2025</c:v>
                </c:pt>
                <c:pt idx="194">
                  <c:v>4/2/2025</c:v>
                </c:pt>
                <c:pt idx="195">
                  <c:v>4/3/2025</c:v>
                </c:pt>
                <c:pt idx="196">
                  <c:v>4/4/2025</c:v>
                </c:pt>
                <c:pt idx="197">
                  <c:v>4/7/2025</c:v>
                </c:pt>
                <c:pt idx="198">
                  <c:v>4/8/2025</c:v>
                </c:pt>
                <c:pt idx="199">
                  <c:v>4/9/2025</c:v>
                </c:pt>
                <c:pt idx="200">
                  <c:v>4/10/2025</c:v>
                </c:pt>
                <c:pt idx="201">
                  <c:v>4/11/2025</c:v>
                </c:pt>
                <c:pt idx="202">
                  <c:v>4/14/2025</c:v>
                </c:pt>
                <c:pt idx="203">
                  <c:v>4/15/2025</c:v>
                </c:pt>
                <c:pt idx="204">
                  <c:v>4/16/2025</c:v>
                </c:pt>
                <c:pt idx="205">
                  <c:v>4/17/2025</c:v>
                </c:pt>
                <c:pt idx="206">
                  <c:v>4/22/2025</c:v>
                </c:pt>
                <c:pt idx="207">
                  <c:v>4/23/2025</c:v>
                </c:pt>
                <c:pt idx="208">
                  <c:v>4/24/2025</c:v>
                </c:pt>
                <c:pt idx="209">
                  <c:v>4/28/2025</c:v>
                </c:pt>
                <c:pt idx="210">
                  <c:v>4/29/2025</c:v>
                </c:pt>
                <c:pt idx="211">
                  <c:v>4/30/2025</c:v>
                </c:pt>
                <c:pt idx="212">
                  <c:v>5/1/2025</c:v>
                </c:pt>
                <c:pt idx="213">
                  <c:v>5/2/2025</c:v>
                </c:pt>
                <c:pt idx="214">
                  <c:v>5/5/2025</c:v>
                </c:pt>
                <c:pt idx="215">
                  <c:v>5/6/2025</c:v>
                </c:pt>
                <c:pt idx="216">
                  <c:v>5/7/2025</c:v>
                </c:pt>
                <c:pt idx="217">
                  <c:v>5/8/2025</c:v>
                </c:pt>
                <c:pt idx="218">
                  <c:v>5/9/2025</c:v>
                </c:pt>
                <c:pt idx="219">
                  <c:v>5/12/2025</c:v>
                </c:pt>
                <c:pt idx="220">
                  <c:v>5/13/2025</c:v>
                </c:pt>
                <c:pt idx="221">
                  <c:v>5/14/2025</c:v>
                </c:pt>
                <c:pt idx="222">
                  <c:v>5/15/2025</c:v>
                </c:pt>
                <c:pt idx="223">
                  <c:v>5/16/2025</c:v>
                </c:pt>
                <c:pt idx="224">
                  <c:v>5/19/2025</c:v>
                </c:pt>
                <c:pt idx="225">
                  <c:v>5/20/2025</c:v>
                </c:pt>
                <c:pt idx="226">
                  <c:v>5/21/2025</c:v>
                </c:pt>
                <c:pt idx="227">
                  <c:v>5/22/2025</c:v>
                </c:pt>
                <c:pt idx="228">
                  <c:v>5/23/2025</c:v>
                </c:pt>
                <c:pt idx="229">
                  <c:v>5/26/2025</c:v>
                </c:pt>
                <c:pt idx="230">
                  <c:v>5/27/2025</c:v>
                </c:pt>
                <c:pt idx="231">
                  <c:v>5/28/2025</c:v>
                </c:pt>
                <c:pt idx="232">
                  <c:v>5/29/2025</c:v>
                </c:pt>
                <c:pt idx="233">
                  <c:v>5/30/2025</c:v>
                </c:pt>
                <c:pt idx="234">
                  <c:v>6/2/2025</c:v>
                </c:pt>
                <c:pt idx="235">
                  <c:v>6/3/2025</c:v>
                </c:pt>
                <c:pt idx="236">
                  <c:v>6/4/2025</c:v>
                </c:pt>
                <c:pt idx="237">
                  <c:v>6/5/2025</c:v>
                </c:pt>
                <c:pt idx="238">
                  <c:v>6/6/2025</c:v>
                </c:pt>
                <c:pt idx="239">
                  <c:v>6/10/2025</c:v>
                </c:pt>
                <c:pt idx="240">
                  <c:v>6/11/2025</c:v>
                </c:pt>
                <c:pt idx="241">
                  <c:v>6/12/2025</c:v>
                </c:pt>
                <c:pt idx="242">
                  <c:v>6/13/2025</c:v>
                </c:pt>
                <c:pt idx="243">
                  <c:v>6/16/2025</c:v>
                </c:pt>
                <c:pt idx="244">
                  <c:v>6/17/2025</c:v>
                </c:pt>
                <c:pt idx="245">
                  <c:v>6/18/2025</c:v>
                </c:pt>
                <c:pt idx="246">
                  <c:v>6/19/2025</c:v>
                </c:pt>
                <c:pt idx="247">
                  <c:v>6/20/2025</c:v>
                </c:pt>
                <c:pt idx="248">
                  <c:v>6/23/2025</c:v>
                </c:pt>
                <c:pt idx="249">
                  <c:v>6/24/2025</c:v>
                </c:pt>
                <c:pt idx="250">
                  <c:v>6/25/2025</c:v>
                </c:pt>
                <c:pt idx="251">
                  <c:v>6/26/2025</c:v>
                </c:pt>
                <c:pt idx="252">
                  <c:v>6/27/2025</c:v>
                </c:pt>
                <c:pt idx="253">
                  <c:v>6/30/2025</c:v>
                </c:pt>
              </c:strCache>
            </c:strRef>
          </c:cat>
          <c:val>
            <c:numRef>
              <c:f>'Stock Chart'!$B$2:$B$254</c:f>
              <c:numCache>
                <c:formatCode>General</c:formatCode>
                <c:ptCount val="253"/>
                <c:pt idx="0">
                  <c:v>4.95</c:v>
                </c:pt>
                <c:pt idx="1">
                  <c:v>4.9000000000000004</c:v>
                </c:pt>
                <c:pt idx="2">
                  <c:v>4.95</c:v>
                </c:pt>
                <c:pt idx="3">
                  <c:v>4.84</c:v>
                </c:pt>
                <c:pt idx="4">
                  <c:v>4.8099999999999996</c:v>
                </c:pt>
                <c:pt idx="5">
                  <c:v>4.82</c:v>
                </c:pt>
                <c:pt idx="6">
                  <c:v>4.9400000000000004</c:v>
                </c:pt>
                <c:pt idx="7">
                  <c:v>4.9000000000000004</c:v>
                </c:pt>
                <c:pt idx="8">
                  <c:v>4.92</c:v>
                </c:pt>
                <c:pt idx="9">
                  <c:v>4.99</c:v>
                </c:pt>
                <c:pt idx="10">
                  <c:v>5.05</c:v>
                </c:pt>
                <c:pt idx="11">
                  <c:v>5</c:v>
                </c:pt>
                <c:pt idx="12">
                  <c:v>5.25</c:v>
                </c:pt>
                <c:pt idx="13">
                  <c:v>5.36</c:v>
                </c:pt>
                <c:pt idx="14">
                  <c:v>5.55</c:v>
                </c:pt>
                <c:pt idx="15">
                  <c:v>5.79</c:v>
                </c:pt>
                <c:pt idx="16">
                  <c:v>5.85</c:v>
                </c:pt>
                <c:pt idx="17">
                  <c:v>5.92</c:v>
                </c:pt>
                <c:pt idx="18">
                  <c:v>5.85</c:v>
                </c:pt>
                <c:pt idx="19">
                  <c:v>5.72</c:v>
                </c:pt>
                <c:pt idx="20">
                  <c:v>5.79</c:v>
                </c:pt>
                <c:pt idx="21">
                  <c:v>5.8</c:v>
                </c:pt>
                <c:pt idx="22">
                  <c:v>5.82</c:v>
                </c:pt>
                <c:pt idx="23">
                  <c:v>6</c:v>
                </c:pt>
                <c:pt idx="24">
                  <c:v>5.98</c:v>
                </c:pt>
                <c:pt idx="25">
                  <c:v>5.9</c:v>
                </c:pt>
                <c:pt idx="26">
                  <c:v>5.65</c:v>
                </c:pt>
                <c:pt idx="27">
                  <c:v>5.84</c:v>
                </c:pt>
                <c:pt idx="28">
                  <c:v>5.93</c:v>
                </c:pt>
                <c:pt idx="29">
                  <c:v>5.82</c:v>
                </c:pt>
                <c:pt idx="30">
                  <c:v>5.85</c:v>
                </c:pt>
                <c:pt idx="31">
                  <c:v>6.05</c:v>
                </c:pt>
                <c:pt idx="32">
                  <c:v>6.18</c:v>
                </c:pt>
                <c:pt idx="33">
                  <c:v>6.13</c:v>
                </c:pt>
                <c:pt idx="34">
                  <c:v>6.09</c:v>
                </c:pt>
                <c:pt idx="35">
                  <c:v>6.21</c:v>
                </c:pt>
                <c:pt idx="36">
                  <c:v>6.08</c:v>
                </c:pt>
                <c:pt idx="37">
                  <c:v>6.4</c:v>
                </c:pt>
                <c:pt idx="38">
                  <c:v>6.71</c:v>
                </c:pt>
                <c:pt idx="39">
                  <c:v>7.1</c:v>
                </c:pt>
                <c:pt idx="40">
                  <c:v>7.03</c:v>
                </c:pt>
                <c:pt idx="41">
                  <c:v>7.01</c:v>
                </c:pt>
                <c:pt idx="42">
                  <c:v>7.01</c:v>
                </c:pt>
                <c:pt idx="43">
                  <c:v>6.95</c:v>
                </c:pt>
                <c:pt idx="44">
                  <c:v>6.95</c:v>
                </c:pt>
                <c:pt idx="45">
                  <c:v>6.94</c:v>
                </c:pt>
                <c:pt idx="46">
                  <c:v>7.02</c:v>
                </c:pt>
                <c:pt idx="47">
                  <c:v>6.89</c:v>
                </c:pt>
                <c:pt idx="48">
                  <c:v>6.87</c:v>
                </c:pt>
                <c:pt idx="49">
                  <c:v>6.84</c:v>
                </c:pt>
                <c:pt idx="50">
                  <c:v>6.79</c:v>
                </c:pt>
                <c:pt idx="51">
                  <c:v>6.69</c:v>
                </c:pt>
                <c:pt idx="52">
                  <c:v>6.77</c:v>
                </c:pt>
                <c:pt idx="53">
                  <c:v>6.66</c:v>
                </c:pt>
                <c:pt idx="54">
                  <c:v>6.76</c:v>
                </c:pt>
                <c:pt idx="55">
                  <c:v>6.68</c:v>
                </c:pt>
                <c:pt idx="56">
                  <c:v>6.7</c:v>
                </c:pt>
                <c:pt idx="57">
                  <c:v>6.74</c:v>
                </c:pt>
                <c:pt idx="58">
                  <c:v>6.75</c:v>
                </c:pt>
                <c:pt idx="59">
                  <c:v>6.77</c:v>
                </c:pt>
                <c:pt idx="60">
                  <c:v>6.88</c:v>
                </c:pt>
                <c:pt idx="61">
                  <c:v>7.03</c:v>
                </c:pt>
                <c:pt idx="62">
                  <c:v>7.13</c:v>
                </c:pt>
                <c:pt idx="63">
                  <c:v>7.09</c:v>
                </c:pt>
                <c:pt idx="64">
                  <c:v>7.2</c:v>
                </c:pt>
                <c:pt idx="65">
                  <c:v>7.58</c:v>
                </c:pt>
                <c:pt idx="66">
                  <c:v>7.59</c:v>
                </c:pt>
                <c:pt idx="67">
                  <c:v>7.63</c:v>
                </c:pt>
                <c:pt idx="68">
                  <c:v>7.8</c:v>
                </c:pt>
                <c:pt idx="69">
                  <c:v>7.83</c:v>
                </c:pt>
                <c:pt idx="70">
                  <c:v>7.67</c:v>
                </c:pt>
                <c:pt idx="71">
                  <c:v>7.71</c:v>
                </c:pt>
                <c:pt idx="72">
                  <c:v>7.6</c:v>
                </c:pt>
                <c:pt idx="73">
                  <c:v>7.73</c:v>
                </c:pt>
                <c:pt idx="74">
                  <c:v>7.7</c:v>
                </c:pt>
                <c:pt idx="75">
                  <c:v>7.73</c:v>
                </c:pt>
                <c:pt idx="76">
                  <c:v>7.56</c:v>
                </c:pt>
                <c:pt idx="77">
                  <c:v>8</c:v>
                </c:pt>
                <c:pt idx="78">
                  <c:v>8.1999999999999993</c:v>
                </c:pt>
                <c:pt idx="79">
                  <c:v>8.1</c:v>
                </c:pt>
                <c:pt idx="80">
                  <c:v>8.09</c:v>
                </c:pt>
                <c:pt idx="81">
                  <c:v>8.2899999999999991</c:v>
                </c:pt>
                <c:pt idx="82">
                  <c:v>8.25</c:v>
                </c:pt>
                <c:pt idx="83">
                  <c:v>8.2100000000000009</c:v>
                </c:pt>
                <c:pt idx="84">
                  <c:v>7.96</c:v>
                </c:pt>
                <c:pt idx="85">
                  <c:v>8.18</c:v>
                </c:pt>
                <c:pt idx="86">
                  <c:v>8.2200000000000006</c:v>
                </c:pt>
                <c:pt idx="87">
                  <c:v>8.33</c:v>
                </c:pt>
                <c:pt idx="88">
                  <c:v>7.92</c:v>
                </c:pt>
                <c:pt idx="89">
                  <c:v>7.85</c:v>
                </c:pt>
                <c:pt idx="90">
                  <c:v>7.83</c:v>
                </c:pt>
                <c:pt idx="91">
                  <c:v>7.7</c:v>
                </c:pt>
                <c:pt idx="92">
                  <c:v>7.67</c:v>
                </c:pt>
                <c:pt idx="93">
                  <c:v>7.68</c:v>
                </c:pt>
                <c:pt idx="94">
                  <c:v>7.65</c:v>
                </c:pt>
                <c:pt idx="95">
                  <c:v>7.68</c:v>
                </c:pt>
                <c:pt idx="96">
                  <c:v>7.59</c:v>
                </c:pt>
                <c:pt idx="97">
                  <c:v>7.54</c:v>
                </c:pt>
                <c:pt idx="98">
                  <c:v>7.7</c:v>
                </c:pt>
                <c:pt idx="99">
                  <c:v>7.79</c:v>
                </c:pt>
                <c:pt idx="100">
                  <c:v>7.95</c:v>
                </c:pt>
                <c:pt idx="101">
                  <c:v>8.0500000000000007</c:v>
                </c:pt>
                <c:pt idx="102">
                  <c:v>7.99</c:v>
                </c:pt>
                <c:pt idx="103">
                  <c:v>7.77</c:v>
                </c:pt>
                <c:pt idx="104">
                  <c:v>7.45</c:v>
                </c:pt>
                <c:pt idx="105">
                  <c:v>7.46</c:v>
                </c:pt>
                <c:pt idx="106">
                  <c:v>7.45</c:v>
                </c:pt>
                <c:pt idx="107">
                  <c:v>7.65</c:v>
                </c:pt>
                <c:pt idx="108">
                  <c:v>7.65</c:v>
                </c:pt>
                <c:pt idx="109">
                  <c:v>7.42</c:v>
                </c:pt>
                <c:pt idx="110">
                  <c:v>7.85</c:v>
                </c:pt>
                <c:pt idx="111">
                  <c:v>7.65</c:v>
                </c:pt>
                <c:pt idx="112">
                  <c:v>7.81</c:v>
                </c:pt>
                <c:pt idx="113">
                  <c:v>8.08</c:v>
                </c:pt>
                <c:pt idx="114">
                  <c:v>8.14</c:v>
                </c:pt>
                <c:pt idx="115">
                  <c:v>8.1</c:v>
                </c:pt>
                <c:pt idx="116">
                  <c:v>7.99</c:v>
                </c:pt>
                <c:pt idx="117">
                  <c:v>7.73</c:v>
                </c:pt>
                <c:pt idx="118">
                  <c:v>7.68</c:v>
                </c:pt>
                <c:pt idx="119">
                  <c:v>7.78</c:v>
                </c:pt>
                <c:pt idx="120">
                  <c:v>7.72</c:v>
                </c:pt>
                <c:pt idx="121">
                  <c:v>7.76</c:v>
                </c:pt>
                <c:pt idx="122">
                  <c:v>8.02</c:v>
                </c:pt>
                <c:pt idx="123">
                  <c:v>7.87</c:v>
                </c:pt>
                <c:pt idx="124">
                  <c:v>7.84</c:v>
                </c:pt>
                <c:pt idx="125">
                  <c:v>7.83</c:v>
                </c:pt>
                <c:pt idx="126">
                  <c:v>7.85</c:v>
                </c:pt>
                <c:pt idx="127">
                  <c:v>8.14</c:v>
                </c:pt>
                <c:pt idx="128">
                  <c:v>8.3000000000000007</c:v>
                </c:pt>
                <c:pt idx="129">
                  <c:v>8.2799999999999994</c:v>
                </c:pt>
                <c:pt idx="130">
                  <c:v>8.49</c:v>
                </c:pt>
                <c:pt idx="131">
                  <c:v>8.25</c:v>
                </c:pt>
                <c:pt idx="132">
                  <c:v>8.27</c:v>
                </c:pt>
                <c:pt idx="133">
                  <c:v>8.3000000000000007</c:v>
                </c:pt>
                <c:pt idx="134">
                  <c:v>8.4</c:v>
                </c:pt>
                <c:pt idx="135">
                  <c:v>8.39</c:v>
                </c:pt>
                <c:pt idx="136">
                  <c:v>8.5500000000000007</c:v>
                </c:pt>
                <c:pt idx="137">
                  <c:v>8.41</c:v>
                </c:pt>
                <c:pt idx="138">
                  <c:v>8.09</c:v>
                </c:pt>
                <c:pt idx="139">
                  <c:v>7.91</c:v>
                </c:pt>
                <c:pt idx="140">
                  <c:v>7.74</c:v>
                </c:pt>
                <c:pt idx="141">
                  <c:v>7.55</c:v>
                </c:pt>
                <c:pt idx="142">
                  <c:v>7.62</c:v>
                </c:pt>
                <c:pt idx="143">
                  <c:v>7.99</c:v>
                </c:pt>
                <c:pt idx="144">
                  <c:v>8</c:v>
                </c:pt>
                <c:pt idx="145">
                  <c:v>8.27</c:v>
                </c:pt>
                <c:pt idx="146">
                  <c:v>8.02</c:v>
                </c:pt>
                <c:pt idx="147">
                  <c:v>8.34</c:v>
                </c:pt>
                <c:pt idx="148">
                  <c:v>8.39</c:v>
                </c:pt>
                <c:pt idx="149">
                  <c:v>8.6</c:v>
                </c:pt>
                <c:pt idx="150">
                  <c:v>8.52</c:v>
                </c:pt>
                <c:pt idx="151">
                  <c:v>8.48</c:v>
                </c:pt>
                <c:pt idx="152">
                  <c:v>8.1</c:v>
                </c:pt>
                <c:pt idx="153">
                  <c:v>8.1</c:v>
                </c:pt>
                <c:pt idx="154">
                  <c:v>8.15</c:v>
                </c:pt>
                <c:pt idx="155">
                  <c:v>8.3000000000000007</c:v>
                </c:pt>
                <c:pt idx="156">
                  <c:v>8.4600000000000009</c:v>
                </c:pt>
                <c:pt idx="157">
                  <c:v>8.18</c:v>
                </c:pt>
                <c:pt idx="158">
                  <c:v>8.19</c:v>
                </c:pt>
                <c:pt idx="159">
                  <c:v>8.1999999999999993</c:v>
                </c:pt>
                <c:pt idx="160">
                  <c:v>8.32</c:v>
                </c:pt>
                <c:pt idx="161">
                  <c:v>8.32</c:v>
                </c:pt>
                <c:pt idx="162">
                  <c:v>8.4</c:v>
                </c:pt>
                <c:pt idx="163">
                  <c:v>8.57</c:v>
                </c:pt>
                <c:pt idx="164">
                  <c:v>8.84</c:v>
                </c:pt>
                <c:pt idx="165">
                  <c:v>9.3800000000000008</c:v>
                </c:pt>
                <c:pt idx="166">
                  <c:v>9.17</c:v>
                </c:pt>
                <c:pt idx="167">
                  <c:v>8.9</c:v>
                </c:pt>
                <c:pt idx="168">
                  <c:v>8.8000000000000007</c:v>
                </c:pt>
                <c:pt idx="169">
                  <c:v>9</c:v>
                </c:pt>
                <c:pt idx="170">
                  <c:v>8.94</c:v>
                </c:pt>
                <c:pt idx="171">
                  <c:v>8.65</c:v>
                </c:pt>
                <c:pt idx="172">
                  <c:v>8.4</c:v>
                </c:pt>
                <c:pt idx="173">
                  <c:v>8.27</c:v>
                </c:pt>
                <c:pt idx="174">
                  <c:v>8.1999999999999993</c:v>
                </c:pt>
                <c:pt idx="175">
                  <c:v>8.1</c:v>
                </c:pt>
                <c:pt idx="176">
                  <c:v>7.96</c:v>
                </c:pt>
                <c:pt idx="177">
                  <c:v>7.9</c:v>
                </c:pt>
                <c:pt idx="178">
                  <c:v>7.27</c:v>
                </c:pt>
                <c:pt idx="179">
                  <c:v>7.46</c:v>
                </c:pt>
                <c:pt idx="180">
                  <c:v>7.5</c:v>
                </c:pt>
                <c:pt idx="181">
                  <c:v>7.4</c:v>
                </c:pt>
                <c:pt idx="182">
                  <c:v>7.7750000000000004</c:v>
                </c:pt>
                <c:pt idx="183">
                  <c:v>7.82</c:v>
                </c:pt>
                <c:pt idx="184">
                  <c:v>7.55</c:v>
                </c:pt>
                <c:pt idx="185">
                  <c:v>7.58</c:v>
                </c:pt>
                <c:pt idx="186">
                  <c:v>7.51</c:v>
                </c:pt>
                <c:pt idx="187">
                  <c:v>7.7</c:v>
                </c:pt>
                <c:pt idx="188">
                  <c:v>8.0399999999999991</c:v>
                </c:pt>
                <c:pt idx="189">
                  <c:v>8.0500000000000007</c:v>
                </c:pt>
                <c:pt idx="190">
                  <c:v>7.6</c:v>
                </c:pt>
                <c:pt idx="191">
                  <c:v>8.0500000000000007</c:v>
                </c:pt>
                <c:pt idx="192">
                  <c:v>7.51</c:v>
                </c:pt>
                <c:pt idx="193">
                  <c:v>7.55</c:v>
                </c:pt>
                <c:pt idx="194">
                  <c:v>7.4</c:v>
                </c:pt>
                <c:pt idx="195">
                  <c:v>7.39</c:v>
                </c:pt>
                <c:pt idx="196">
                  <c:v>6.7</c:v>
                </c:pt>
                <c:pt idx="197">
                  <c:v>6.91</c:v>
                </c:pt>
                <c:pt idx="198">
                  <c:v>6.91</c:v>
                </c:pt>
                <c:pt idx="199">
                  <c:v>7.15</c:v>
                </c:pt>
                <c:pt idx="200">
                  <c:v>7.41</c:v>
                </c:pt>
                <c:pt idx="201">
                  <c:v>7.25</c:v>
                </c:pt>
                <c:pt idx="202">
                  <c:v>7.33</c:v>
                </c:pt>
                <c:pt idx="203">
                  <c:v>7.55</c:v>
                </c:pt>
                <c:pt idx="204">
                  <c:v>7.53</c:v>
                </c:pt>
                <c:pt idx="205">
                  <c:v>7.45</c:v>
                </c:pt>
                <c:pt idx="206">
                  <c:v>7.38</c:v>
                </c:pt>
                <c:pt idx="207">
                  <c:v>7.76</c:v>
                </c:pt>
                <c:pt idx="208">
                  <c:v>7.88</c:v>
                </c:pt>
                <c:pt idx="209">
                  <c:v>7.73</c:v>
                </c:pt>
                <c:pt idx="210">
                  <c:v>8.0299999999999994</c:v>
                </c:pt>
                <c:pt idx="211">
                  <c:v>7.85</c:v>
                </c:pt>
                <c:pt idx="212">
                  <c:v>7.66</c:v>
                </c:pt>
                <c:pt idx="213">
                  <c:v>7.88</c:v>
                </c:pt>
                <c:pt idx="214">
                  <c:v>7.63</c:v>
                </c:pt>
                <c:pt idx="215">
                  <c:v>7.83</c:v>
                </c:pt>
                <c:pt idx="216">
                  <c:v>7.92</c:v>
                </c:pt>
                <c:pt idx="217">
                  <c:v>7.9349999999999996</c:v>
                </c:pt>
                <c:pt idx="218">
                  <c:v>7.98</c:v>
                </c:pt>
                <c:pt idx="219">
                  <c:v>8.1999999999999993</c:v>
                </c:pt>
                <c:pt idx="220">
                  <c:v>8.7200000000000006</c:v>
                </c:pt>
                <c:pt idx="221">
                  <c:v>8</c:v>
                </c:pt>
                <c:pt idx="222">
                  <c:v>8.41</c:v>
                </c:pt>
                <c:pt idx="223">
                  <c:v>8.3000000000000007</c:v>
                </c:pt>
                <c:pt idx="224">
                  <c:v>8.2349999999999994</c:v>
                </c:pt>
                <c:pt idx="225">
                  <c:v>8.19</c:v>
                </c:pt>
                <c:pt idx="226">
                  <c:v>7.74</c:v>
                </c:pt>
                <c:pt idx="227">
                  <c:v>7.66</c:v>
                </c:pt>
                <c:pt idx="228">
                  <c:v>7.6</c:v>
                </c:pt>
                <c:pt idx="229">
                  <c:v>7.38</c:v>
                </c:pt>
                <c:pt idx="230">
                  <c:v>7.3</c:v>
                </c:pt>
                <c:pt idx="231">
                  <c:v>7.49</c:v>
                </c:pt>
                <c:pt idx="232">
                  <c:v>7.52</c:v>
                </c:pt>
                <c:pt idx="233">
                  <c:v>7.82</c:v>
                </c:pt>
                <c:pt idx="234">
                  <c:v>7.58</c:v>
                </c:pt>
                <c:pt idx="235">
                  <c:v>7.81</c:v>
                </c:pt>
                <c:pt idx="236">
                  <c:v>7.88</c:v>
                </c:pt>
                <c:pt idx="237">
                  <c:v>7.8</c:v>
                </c:pt>
                <c:pt idx="238">
                  <c:v>7.97</c:v>
                </c:pt>
                <c:pt idx="239">
                  <c:v>7.84</c:v>
                </c:pt>
                <c:pt idx="240">
                  <c:v>7.8</c:v>
                </c:pt>
                <c:pt idx="241">
                  <c:v>7.59</c:v>
                </c:pt>
                <c:pt idx="242">
                  <c:v>7.4</c:v>
                </c:pt>
                <c:pt idx="243">
                  <c:v>7.47</c:v>
                </c:pt>
                <c:pt idx="244">
                  <c:v>7.8</c:v>
                </c:pt>
                <c:pt idx="245">
                  <c:v>7.6</c:v>
                </c:pt>
                <c:pt idx="246">
                  <c:v>7.43</c:v>
                </c:pt>
                <c:pt idx="247">
                  <c:v>7.36</c:v>
                </c:pt>
                <c:pt idx="248">
                  <c:v>7.3</c:v>
                </c:pt>
                <c:pt idx="249">
                  <c:v>7.28</c:v>
                </c:pt>
                <c:pt idx="250">
                  <c:v>7.3</c:v>
                </c:pt>
                <c:pt idx="251">
                  <c:v>7.36</c:v>
                </c:pt>
                <c:pt idx="252">
                  <c:v>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0-4A8A-992C-F679AB61FBAB}"/>
            </c:ext>
          </c:extLst>
        </c:ser>
        <c:ser>
          <c:idx val="1"/>
          <c:order val="1"/>
          <c:tx>
            <c:strRef>
              <c:f>'Stock Chart'!$C$1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'Stock Chart'!$A:$A</c:f>
              <c:strCache>
                <c:ptCount val="254"/>
                <c:pt idx="0">
                  <c:v>Date</c:v>
                </c:pt>
                <c:pt idx="1">
                  <c:v>7/1/2024</c:v>
                </c:pt>
                <c:pt idx="2">
                  <c:v>7/2/2024</c:v>
                </c:pt>
                <c:pt idx="3">
                  <c:v>7/3/2024</c:v>
                </c:pt>
                <c:pt idx="4">
                  <c:v>7/4/2024</c:v>
                </c:pt>
                <c:pt idx="5">
                  <c:v>7/5/2024</c:v>
                </c:pt>
                <c:pt idx="6">
                  <c:v>7/8/2024</c:v>
                </c:pt>
                <c:pt idx="7">
                  <c:v>7/9/2024</c:v>
                </c:pt>
                <c:pt idx="8">
                  <c:v>7/10/2024</c:v>
                </c:pt>
                <c:pt idx="9">
                  <c:v>7/11/2024</c:v>
                </c:pt>
                <c:pt idx="10">
                  <c:v>7/12/2024</c:v>
                </c:pt>
                <c:pt idx="11">
                  <c:v>7/15/2024</c:v>
                </c:pt>
                <c:pt idx="12">
                  <c:v>7/16/2024</c:v>
                </c:pt>
                <c:pt idx="13">
                  <c:v>7/17/2024</c:v>
                </c:pt>
                <c:pt idx="14">
                  <c:v>7/18/2024</c:v>
                </c:pt>
                <c:pt idx="15">
                  <c:v>7/19/2024</c:v>
                </c:pt>
                <c:pt idx="16">
                  <c:v>7/22/2024</c:v>
                </c:pt>
                <c:pt idx="17">
                  <c:v>7/23/2024</c:v>
                </c:pt>
                <c:pt idx="18">
                  <c:v>7/24/2024</c:v>
                </c:pt>
                <c:pt idx="19">
                  <c:v>7/25/2024</c:v>
                </c:pt>
                <c:pt idx="20">
                  <c:v>7/26/2024</c:v>
                </c:pt>
                <c:pt idx="21">
                  <c:v>7/29/2024</c:v>
                </c:pt>
                <c:pt idx="22">
                  <c:v>7/30/2024</c:v>
                </c:pt>
                <c:pt idx="23">
                  <c:v>7/31/2024</c:v>
                </c:pt>
                <c:pt idx="24">
                  <c:v>8/1/2024</c:v>
                </c:pt>
                <c:pt idx="25">
                  <c:v>8/2/2024</c:v>
                </c:pt>
                <c:pt idx="26">
                  <c:v>8/5/2024</c:v>
                </c:pt>
                <c:pt idx="27">
                  <c:v>8/6/2024</c:v>
                </c:pt>
                <c:pt idx="28">
                  <c:v>8/7/2024</c:v>
                </c:pt>
                <c:pt idx="29">
                  <c:v>8/8/2024</c:v>
                </c:pt>
                <c:pt idx="30">
                  <c:v>8/9/2024</c:v>
                </c:pt>
                <c:pt idx="31">
                  <c:v>8/12/2024</c:v>
                </c:pt>
                <c:pt idx="32">
                  <c:v>8/13/2024</c:v>
                </c:pt>
                <c:pt idx="33">
                  <c:v>8/14/2024</c:v>
                </c:pt>
                <c:pt idx="34">
                  <c:v>8/15/2024</c:v>
                </c:pt>
                <c:pt idx="35">
                  <c:v>8/16/2024</c:v>
                </c:pt>
                <c:pt idx="36">
                  <c:v>8/19/2024</c:v>
                </c:pt>
                <c:pt idx="37">
                  <c:v>8/20/2024</c:v>
                </c:pt>
                <c:pt idx="38">
                  <c:v>8/21/2024</c:v>
                </c:pt>
                <c:pt idx="39">
                  <c:v>8/22/2024</c:v>
                </c:pt>
                <c:pt idx="40">
                  <c:v>8/23/2024</c:v>
                </c:pt>
                <c:pt idx="41">
                  <c:v>8/26/2024</c:v>
                </c:pt>
                <c:pt idx="42">
                  <c:v>8/27/2024</c:v>
                </c:pt>
                <c:pt idx="43">
                  <c:v>8/28/2024</c:v>
                </c:pt>
                <c:pt idx="44">
                  <c:v>8/29/2024</c:v>
                </c:pt>
                <c:pt idx="45">
                  <c:v>8/30/2024</c:v>
                </c:pt>
                <c:pt idx="46">
                  <c:v>9/2/2024</c:v>
                </c:pt>
                <c:pt idx="47">
                  <c:v>9/3/2024</c:v>
                </c:pt>
                <c:pt idx="48">
                  <c:v>9/4/2024</c:v>
                </c:pt>
                <c:pt idx="49">
                  <c:v>9/5/2024</c:v>
                </c:pt>
                <c:pt idx="50">
                  <c:v>9/6/2024</c:v>
                </c:pt>
                <c:pt idx="51">
                  <c:v>9/9/2024</c:v>
                </c:pt>
                <c:pt idx="52">
                  <c:v>9/10/2024</c:v>
                </c:pt>
                <c:pt idx="53">
                  <c:v>9/11/2024</c:v>
                </c:pt>
                <c:pt idx="54">
                  <c:v>9/12/2024</c:v>
                </c:pt>
                <c:pt idx="55">
                  <c:v>9/13/2024</c:v>
                </c:pt>
                <c:pt idx="56">
                  <c:v>9/16/2024</c:v>
                </c:pt>
                <c:pt idx="57">
                  <c:v>9/17/2024</c:v>
                </c:pt>
                <c:pt idx="58">
                  <c:v>9/18/2024</c:v>
                </c:pt>
                <c:pt idx="59">
                  <c:v>9/19/2024</c:v>
                </c:pt>
                <c:pt idx="60">
                  <c:v>9/20/2024</c:v>
                </c:pt>
                <c:pt idx="61">
                  <c:v>9/23/2024</c:v>
                </c:pt>
                <c:pt idx="62">
                  <c:v>9/24/2024</c:v>
                </c:pt>
                <c:pt idx="63">
                  <c:v>9/25/2024</c:v>
                </c:pt>
                <c:pt idx="64">
                  <c:v>9/26/2024</c:v>
                </c:pt>
                <c:pt idx="65">
                  <c:v>9/27/2024</c:v>
                </c:pt>
                <c:pt idx="66">
                  <c:v>9/30/2024</c:v>
                </c:pt>
                <c:pt idx="67">
                  <c:v>10/1/2024</c:v>
                </c:pt>
                <c:pt idx="68">
                  <c:v>10/2/2024</c:v>
                </c:pt>
                <c:pt idx="69">
                  <c:v>10/3/2024</c:v>
                </c:pt>
                <c:pt idx="70">
                  <c:v>10/4/2024</c:v>
                </c:pt>
                <c:pt idx="71">
                  <c:v>10/7/2024</c:v>
                </c:pt>
                <c:pt idx="72">
                  <c:v>10/8/2024</c:v>
                </c:pt>
                <c:pt idx="73">
                  <c:v>10/9/2024</c:v>
                </c:pt>
                <c:pt idx="74">
                  <c:v>10/10/2024</c:v>
                </c:pt>
                <c:pt idx="75">
                  <c:v>10/11/2024</c:v>
                </c:pt>
                <c:pt idx="76">
                  <c:v>10/14/2024</c:v>
                </c:pt>
                <c:pt idx="77">
                  <c:v>10/15/2024</c:v>
                </c:pt>
                <c:pt idx="78">
                  <c:v>10/16/2024</c:v>
                </c:pt>
                <c:pt idx="79">
                  <c:v>10/17/2024</c:v>
                </c:pt>
                <c:pt idx="80">
                  <c:v>10/18/2024</c:v>
                </c:pt>
                <c:pt idx="81">
                  <c:v>10/21/2024</c:v>
                </c:pt>
                <c:pt idx="82">
                  <c:v>10/22/2024</c:v>
                </c:pt>
                <c:pt idx="83">
                  <c:v>10/23/2024</c:v>
                </c:pt>
                <c:pt idx="84">
                  <c:v>10/24/2024</c:v>
                </c:pt>
                <c:pt idx="85">
                  <c:v>10/25/2024</c:v>
                </c:pt>
                <c:pt idx="86">
                  <c:v>10/28/2024</c:v>
                </c:pt>
                <c:pt idx="87">
                  <c:v>10/29/2024</c:v>
                </c:pt>
                <c:pt idx="88">
                  <c:v>10/30/2024</c:v>
                </c:pt>
                <c:pt idx="89">
                  <c:v>10/31/2024</c:v>
                </c:pt>
                <c:pt idx="90">
                  <c:v>11/1/2024</c:v>
                </c:pt>
                <c:pt idx="91">
                  <c:v>11/4/2024</c:v>
                </c:pt>
                <c:pt idx="92">
                  <c:v>11/5/2024</c:v>
                </c:pt>
                <c:pt idx="93">
                  <c:v>11/6/2024</c:v>
                </c:pt>
                <c:pt idx="94">
                  <c:v>11/7/2024</c:v>
                </c:pt>
                <c:pt idx="95">
                  <c:v>11/8/2024</c:v>
                </c:pt>
                <c:pt idx="96">
                  <c:v>11/11/2024</c:v>
                </c:pt>
                <c:pt idx="97">
                  <c:v>11/12/2024</c:v>
                </c:pt>
                <c:pt idx="98">
                  <c:v>11/13/2024</c:v>
                </c:pt>
                <c:pt idx="99">
                  <c:v>11/14/2024</c:v>
                </c:pt>
                <c:pt idx="100">
                  <c:v>11/15/2024</c:v>
                </c:pt>
                <c:pt idx="101">
                  <c:v>11/18/2024</c:v>
                </c:pt>
                <c:pt idx="102">
                  <c:v>11/19/2024</c:v>
                </c:pt>
                <c:pt idx="103">
                  <c:v>11/20/2024</c:v>
                </c:pt>
                <c:pt idx="104">
                  <c:v>11/21/2024</c:v>
                </c:pt>
                <c:pt idx="105">
                  <c:v>11/22/2024</c:v>
                </c:pt>
                <c:pt idx="106">
                  <c:v>11/25/2024</c:v>
                </c:pt>
                <c:pt idx="107">
                  <c:v>11/26/2024</c:v>
                </c:pt>
                <c:pt idx="108">
                  <c:v>11/27/2024</c:v>
                </c:pt>
                <c:pt idx="109">
                  <c:v>11/28/2024</c:v>
                </c:pt>
                <c:pt idx="110">
                  <c:v>11/29/2024</c:v>
                </c:pt>
                <c:pt idx="111">
                  <c:v>12/2/2024</c:v>
                </c:pt>
                <c:pt idx="112">
                  <c:v>12/3/2024</c:v>
                </c:pt>
                <c:pt idx="113">
                  <c:v>12/4/2024</c:v>
                </c:pt>
                <c:pt idx="114">
                  <c:v>12/5/2024</c:v>
                </c:pt>
                <c:pt idx="115">
                  <c:v>12/6/2024</c:v>
                </c:pt>
                <c:pt idx="116">
                  <c:v>12/9/2024</c:v>
                </c:pt>
                <c:pt idx="117">
                  <c:v>12/10/2024</c:v>
                </c:pt>
                <c:pt idx="118">
                  <c:v>12/11/2024</c:v>
                </c:pt>
                <c:pt idx="119">
                  <c:v>12/12/2024</c:v>
                </c:pt>
                <c:pt idx="120">
                  <c:v>12/13/2024</c:v>
                </c:pt>
                <c:pt idx="121">
                  <c:v>12/16/2024</c:v>
                </c:pt>
                <c:pt idx="122">
                  <c:v>12/17/2024</c:v>
                </c:pt>
                <c:pt idx="123">
                  <c:v>12/18/2024</c:v>
                </c:pt>
                <c:pt idx="124">
                  <c:v>12/19/2024</c:v>
                </c:pt>
                <c:pt idx="125">
                  <c:v>12/20/2024</c:v>
                </c:pt>
                <c:pt idx="126">
                  <c:v>12/23/2024</c:v>
                </c:pt>
                <c:pt idx="127">
                  <c:v>12/24/2024</c:v>
                </c:pt>
                <c:pt idx="128">
                  <c:v>12/27/2024</c:v>
                </c:pt>
                <c:pt idx="129">
                  <c:v>12/30/2024</c:v>
                </c:pt>
                <c:pt idx="130">
                  <c:v>12/31/2024</c:v>
                </c:pt>
                <c:pt idx="131">
                  <c:v>1/2/2025</c:v>
                </c:pt>
                <c:pt idx="132">
                  <c:v>1/3/2025</c:v>
                </c:pt>
                <c:pt idx="133">
                  <c:v>1/6/2025</c:v>
                </c:pt>
                <c:pt idx="134">
                  <c:v>1/7/2025</c:v>
                </c:pt>
                <c:pt idx="135">
                  <c:v>1/8/2025</c:v>
                </c:pt>
                <c:pt idx="136">
                  <c:v>1/9/2025</c:v>
                </c:pt>
                <c:pt idx="137">
                  <c:v>1/10/2025</c:v>
                </c:pt>
                <c:pt idx="138">
                  <c:v>1/13/2025</c:v>
                </c:pt>
                <c:pt idx="139">
                  <c:v>1/14/2025</c:v>
                </c:pt>
                <c:pt idx="140">
                  <c:v>1/15/2025</c:v>
                </c:pt>
                <c:pt idx="141">
                  <c:v>1/16/2025</c:v>
                </c:pt>
                <c:pt idx="142">
                  <c:v>1/17/2025</c:v>
                </c:pt>
                <c:pt idx="143">
                  <c:v>1/20/2025</c:v>
                </c:pt>
                <c:pt idx="144">
                  <c:v>1/21/2025</c:v>
                </c:pt>
                <c:pt idx="145">
                  <c:v>1/22/2025</c:v>
                </c:pt>
                <c:pt idx="146">
                  <c:v>1/23/2025</c:v>
                </c:pt>
                <c:pt idx="147">
                  <c:v>1/24/2025</c:v>
                </c:pt>
                <c:pt idx="148">
                  <c:v>1/28/2025</c:v>
                </c:pt>
                <c:pt idx="149">
                  <c:v>1/29/2025</c:v>
                </c:pt>
                <c:pt idx="150">
                  <c:v>1/30/2025</c:v>
                </c:pt>
                <c:pt idx="151">
                  <c:v>1/31/2025</c:v>
                </c:pt>
                <c:pt idx="152">
                  <c:v>2/3/2025</c:v>
                </c:pt>
                <c:pt idx="153">
                  <c:v>2/4/2025</c:v>
                </c:pt>
                <c:pt idx="154">
                  <c:v>2/5/2025</c:v>
                </c:pt>
                <c:pt idx="155">
                  <c:v>2/6/2025</c:v>
                </c:pt>
                <c:pt idx="156">
                  <c:v>2/7/2025</c:v>
                </c:pt>
                <c:pt idx="157">
                  <c:v>2/10/2025</c:v>
                </c:pt>
                <c:pt idx="158">
                  <c:v>2/11/2025</c:v>
                </c:pt>
                <c:pt idx="159">
                  <c:v>2/12/2025</c:v>
                </c:pt>
                <c:pt idx="160">
                  <c:v>2/13/2025</c:v>
                </c:pt>
                <c:pt idx="161">
                  <c:v>2/14/2025</c:v>
                </c:pt>
                <c:pt idx="162">
                  <c:v>2/17/2025</c:v>
                </c:pt>
                <c:pt idx="163">
                  <c:v>2/18/2025</c:v>
                </c:pt>
                <c:pt idx="164">
                  <c:v>2/19/2025</c:v>
                </c:pt>
                <c:pt idx="165">
                  <c:v>2/20/2025</c:v>
                </c:pt>
                <c:pt idx="166">
                  <c:v>2/21/2025</c:v>
                </c:pt>
                <c:pt idx="167">
                  <c:v>2/24/2025</c:v>
                </c:pt>
                <c:pt idx="168">
                  <c:v>2/25/2025</c:v>
                </c:pt>
                <c:pt idx="169">
                  <c:v>2/26/2025</c:v>
                </c:pt>
                <c:pt idx="170">
                  <c:v>2/27/2025</c:v>
                </c:pt>
                <c:pt idx="171">
                  <c:v>2/28/2025</c:v>
                </c:pt>
                <c:pt idx="172">
                  <c:v>3/3/2025</c:v>
                </c:pt>
                <c:pt idx="173">
                  <c:v>3/4/2025</c:v>
                </c:pt>
                <c:pt idx="174">
                  <c:v>3/5/2025</c:v>
                </c:pt>
                <c:pt idx="175">
                  <c:v>3/6/2025</c:v>
                </c:pt>
                <c:pt idx="176">
                  <c:v>3/7/2025</c:v>
                </c:pt>
                <c:pt idx="177">
                  <c:v>3/10/2025</c:v>
                </c:pt>
                <c:pt idx="178">
                  <c:v>3/11/2025</c:v>
                </c:pt>
                <c:pt idx="179">
                  <c:v>3/12/2025</c:v>
                </c:pt>
                <c:pt idx="180">
                  <c:v>3/13/2025</c:v>
                </c:pt>
                <c:pt idx="181">
                  <c:v>3/14/2025</c:v>
                </c:pt>
                <c:pt idx="182">
                  <c:v>3/17/2025</c:v>
                </c:pt>
                <c:pt idx="183">
                  <c:v>3/18/2025</c:v>
                </c:pt>
                <c:pt idx="184">
                  <c:v>3/19/2025</c:v>
                </c:pt>
                <c:pt idx="185">
                  <c:v>3/20/2025</c:v>
                </c:pt>
                <c:pt idx="186">
                  <c:v>3/21/2025</c:v>
                </c:pt>
                <c:pt idx="187">
                  <c:v>3/24/2025</c:v>
                </c:pt>
                <c:pt idx="188">
                  <c:v>3/25/2025</c:v>
                </c:pt>
                <c:pt idx="189">
                  <c:v>3/26/2025</c:v>
                </c:pt>
                <c:pt idx="190">
                  <c:v>3/27/2025</c:v>
                </c:pt>
                <c:pt idx="191">
                  <c:v>3/28/2025</c:v>
                </c:pt>
                <c:pt idx="192">
                  <c:v>3/31/2025</c:v>
                </c:pt>
                <c:pt idx="193">
                  <c:v>4/1/2025</c:v>
                </c:pt>
                <c:pt idx="194">
                  <c:v>4/2/2025</c:v>
                </c:pt>
                <c:pt idx="195">
                  <c:v>4/3/2025</c:v>
                </c:pt>
                <c:pt idx="196">
                  <c:v>4/4/2025</c:v>
                </c:pt>
                <c:pt idx="197">
                  <c:v>4/7/2025</c:v>
                </c:pt>
                <c:pt idx="198">
                  <c:v>4/8/2025</c:v>
                </c:pt>
                <c:pt idx="199">
                  <c:v>4/9/2025</c:v>
                </c:pt>
                <c:pt idx="200">
                  <c:v>4/10/2025</c:v>
                </c:pt>
                <c:pt idx="201">
                  <c:v>4/11/2025</c:v>
                </c:pt>
                <c:pt idx="202">
                  <c:v>4/14/2025</c:v>
                </c:pt>
                <c:pt idx="203">
                  <c:v>4/15/2025</c:v>
                </c:pt>
                <c:pt idx="204">
                  <c:v>4/16/2025</c:v>
                </c:pt>
                <c:pt idx="205">
                  <c:v>4/17/2025</c:v>
                </c:pt>
                <c:pt idx="206">
                  <c:v>4/22/2025</c:v>
                </c:pt>
                <c:pt idx="207">
                  <c:v>4/23/2025</c:v>
                </c:pt>
                <c:pt idx="208">
                  <c:v>4/24/2025</c:v>
                </c:pt>
                <c:pt idx="209">
                  <c:v>4/28/2025</c:v>
                </c:pt>
                <c:pt idx="210">
                  <c:v>4/29/2025</c:v>
                </c:pt>
                <c:pt idx="211">
                  <c:v>4/30/2025</c:v>
                </c:pt>
                <c:pt idx="212">
                  <c:v>5/1/2025</c:v>
                </c:pt>
                <c:pt idx="213">
                  <c:v>5/2/2025</c:v>
                </c:pt>
                <c:pt idx="214">
                  <c:v>5/5/2025</c:v>
                </c:pt>
                <c:pt idx="215">
                  <c:v>5/6/2025</c:v>
                </c:pt>
                <c:pt idx="216">
                  <c:v>5/7/2025</c:v>
                </c:pt>
                <c:pt idx="217">
                  <c:v>5/8/2025</c:v>
                </c:pt>
                <c:pt idx="218">
                  <c:v>5/9/2025</c:v>
                </c:pt>
                <c:pt idx="219">
                  <c:v>5/12/2025</c:v>
                </c:pt>
                <c:pt idx="220">
                  <c:v>5/13/2025</c:v>
                </c:pt>
                <c:pt idx="221">
                  <c:v>5/14/2025</c:v>
                </c:pt>
                <c:pt idx="222">
                  <c:v>5/15/2025</c:v>
                </c:pt>
                <c:pt idx="223">
                  <c:v>5/16/2025</c:v>
                </c:pt>
                <c:pt idx="224">
                  <c:v>5/19/2025</c:v>
                </c:pt>
                <c:pt idx="225">
                  <c:v>5/20/2025</c:v>
                </c:pt>
                <c:pt idx="226">
                  <c:v>5/21/2025</c:v>
                </c:pt>
                <c:pt idx="227">
                  <c:v>5/22/2025</c:v>
                </c:pt>
                <c:pt idx="228">
                  <c:v>5/23/2025</c:v>
                </c:pt>
                <c:pt idx="229">
                  <c:v>5/26/2025</c:v>
                </c:pt>
                <c:pt idx="230">
                  <c:v>5/27/2025</c:v>
                </c:pt>
                <c:pt idx="231">
                  <c:v>5/28/2025</c:v>
                </c:pt>
                <c:pt idx="232">
                  <c:v>5/29/2025</c:v>
                </c:pt>
                <c:pt idx="233">
                  <c:v>5/30/2025</c:v>
                </c:pt>
                <c:pt idx="234">
                  <c:v>6/2/2025</c:v>
                </c:pt>
                <c:pt idx="235">
                  <c:v>6/3/2025</c:v>
                </c:pt>
                <c:pt idx="236">
                  <c:v>6/4/2025</c:v>
                </c:pt>
                <c:pt idx="237">
                  <c:v>6/5/2025</c:v>
                </c:pt>
                <c:pt idx="238">
                  <c:v>6/6/2025</c:v>
                </c:pt>
                <c:pt idx="239">
                  <c:v>6/10/2025</c:v>
                </c:pt>
                <c:pt idx="240">
                  <c:v>6/11/2025</c:v>
                </c:pt>
                <c:pt idx="241">
                  <c:v>6/12/2025</c:v>
                </c:pt>
                <c:pt idx="242">
                  <c:v>6/13/2025</c:v>
                </c:pt>
                <c:pt idx="243">
                  <c:v>6/16/2025</c:v>
                </c:pt>
                <c:pt idx="244">
                  <c:v>6/17/2025</c:v>
                </c:pt>
                <c:pt idx="245">
                  <c:v>6/18/2025</c:v>
                </c:pt>
                <c:pt idx="246">
                  <c:v>6/19/2025</c:v>
                </c:pt>
                <c:pt idx="247">
                  <c:v>6/20/2025</c:v>
                </c:pt>
                <c:pt idx="248">
                  <c:v>6/23/2025</c:v>
                </c:pt>
                <c:pt idx="249">
                  <c:v>6/24/2025</c:v>
                </c:pt>
                <c:pt idx="250">
                  <c:v>6/25/2025</c:v>
                </c:pt>
                <c:pt idx="251">
                  <c:v>6/26/2025</c:v>
                </c:pt>
                <c:pt idx="252">
                  <c:v>6/27/2025</c:v>
                </c:pt>
                <c:pt idx="253">
                  <c:v>6/30/2025</c:v>
                </c:pt>
              </c:strCache>
            </c:strRef>
          </c:cat>
          <c:val>
            <c:numRef>
              <c:f>'Stock Chart'!$C$2:$C$254</c:f>
              <c:numCache>
                <c:formatCode>General</c:formatCode>
                <c:ptCount val="253"/>
                <c:pt idx="0">
                  <c:v>5.0199999999999996</c:v>
                </c:pt>
                <c:pt idx="1">
                  <c:v>4.9800000000000004</c:v>
                </c:pt>
                <c:pt idx="2">
                  <c:v>4.9800000000000004</c:v>
                </c:pt>
                <c:pt idx="3">
                  <c:v>4.9800000000000004</c:v>
                </c:pt>
                <c:pt idx="4">
                  <c:v>4.8899999999999997</c:v>
                </c:pt>
                <c:pt idx="5">
                  <c:v>4.99</c:v>
                </c:pt>
                <c:pt idx="6">
                  <c:v>4.9400000000000004</c:v>
                </c:pt>
                <c:pt idx="7">
                  <c:v>4.92</c:v>
                </c:pt>
                <c:pt idx="8">
                  <c:v>5.01</c:v>
                </c:pt>
                <c:pt idx="9">
                  <c:v>5.08</c:v>
                </c:pt>
                <c:pt idx="10">
                  <c:v>5.05</c:v>
                </c:pt>
                <c:pt idx="11">
                  <c:v>5.35</c:v>
                </c:pt>
                <c:pt idx="12">
                  <c:v>5.39</c:v>
                </c:pt>
                <c:pt idx="13">
                  <c:v>5.46</c:v>
                </c:pt>
                <c:pt idx="14">
                  <c:v>5.89</c:v>
                </c:pt>
                <c:pt idx="15">
                  <c:v>5.89</c:v>
                </c:pt>
                <c:pt idx="16">
                  <c:v>5.99</c:v>
                </c:pt>
                <c:pt idx="17">
                  <c:v>5.95</c:v>
                </c:pt>
                <c:pt idx="18">
                  <c:v>5.85</c:v>
                </c:pt>
                <c:pt idx="19">
                  <c:v>5.79</c:v>
                </c:pt>
                <c:pt idx="20">
                  <c:v>5.82</c:v>
                </c:pt>
                <c:pt idx="21">
                  <c:v>5.85</c:v>
                </c:pt>
                <c:pt idx="22">
                  <c:v>6.02</c:v>
                </c:pt>
                <c:pt idx="23">
                  <c:v>6.13</c:v>
                </c:pt>
                <c:pt idx="24">
                  <c:v>6</c:v>
                </c:pt>
                <c:pt idx="25">
                  <c:v>5.9</c:v>
                </c:pt>
                <c:pt idx="26">
                  <c:v>5.93</c:v>
                </c:pt>
                <c:pt idx="27">
                  <c:v>5.98</c:v>
                </c:pt>
                <c:pt idx="28">
                  <c:v>5.93</c:v>
                </c:pt>
                <c:pt idx="29">
                  <c:v>5.91</c:v>
                </c:pt>
                <c:pt idx="30">
                  <c:v>6.08</c:v>
                </c:pt>
                <c:pt idx="31">
                  <c:v>6.26</c:v>
                </c:pt>
                <c:pt idx="32">
                  <c:v>6.22</c:v>
                </c:pt>
                <c:pt idx="33">
                  <c:v>6.13</c:v>
                </c:pt>
                <c:pt idx="34">
                  <c:v>6.23</c:v>
                </c:pt>
                <c:pt idx="35">
                  <c:v>6.35</c:v>
                </c:pt>
                <c:pt idx="36">
                  <c:v>6.48</c:v>
                </c:pt>
                <c:pt idx="37">
                  <c:v>6.4</c:v>
                </c:pt>
                <c:pt idx="38">
                  <c:v>7.99</c:v>
                </c:pt>
                <c:pt idx="39">
                  <c:v>7.3</c:v>
                </c:pt>
                <c:pt idx="40">
                  <c:v>7.05</c:v>
                </c:pt>
                <c:pt idx="41">
                  <c:v>7.09</c:v>
                </c:pt>
                <c:pt idx="42">
                  <c:v>7.05</c:v>
                </c:pt>
                <c:pt idx="43">
                  <c:v>7</c:v>
                </c:pt>
                <c:pt idx="44">
                  <c:v>7.08</c:v>
                </c:pt>
                <c:pt idx="45">
                  <c:v>7</c:v>
                </c:pt>
                <c:pt idx="46">
                  <c:v>7.08</c:v>
                </c:pt>
                <c:pt idx="47">
                  <c:v>6.8949999999999996</c:v>
                </c:pt>
                <c:pt idx="48">
                  <c:v>7.01</c:v>
                </c:pt>
                <c:pt idx="49">
                  <c:v>6.9</c:v>
                </c:pt>
                <c:pt idx="50">
                  <c:v>6.79</c:v>
                </c:pt>
                <c:pt idx="51">
                  <c:v>6.8</c:v>
                </c:pt>
                <c:pt idx="52">
                  <c:v>6.77</c:v>
                </c:pt>
                <c:pt idx="53">
                  <c:v>6.77</c:v>
                </c:pt>
                <c:pt idx="54">
                  <c:v>6.76</c:v>
                </c:pt>
                <c:pt idx="55">
                  <c:v>6.84</c:v>
                </c:pt>
                <c:pt idx="56">
                  <c:v>6.75</c:v>
                </c:pt>
                <c:pt idx="57">
                  <c:v>6.87</c:v>
                </c:pt>
                <c:pt idx="58">
                  <c:v>6.78</c:v>
                </c:pt>
                <c:pt idx="59">
                  <c:v>7.1</c:v>
                </c:pt>
                <c:pt idx="60">
                  <c:v>7.21</c:v>
                </c:pt>
                <c:pt idx="61">
                  <c:v>7.12</c:v>
                </c:pt>
                <c:pt idx="62">
                  <c:v>7.2149999999999999</c:v>
                </c:pt>
                <c:pt idx="63">
                  <c:v>7.39</c:v>
                </c:pt>
                <c:pt idx="64">
                  <c:v>7.31</c:v>
                </c:pt>
                <c:pt idx="65">
                  <c:v>7.65</c:v>
                </c:pt>
                <c:pt idx="66">
                  <c:v>7.65</c:v>
                </c:pt>
                <c:pt idx="67">
                  <c:v>7.75</c:v>
                </c:pt>
                <c:pt idx="68">
                  <c:v>7.85</c:v>
                </c:pt>
                <c:pt idx="69">
                  <c:v>7.83</c:v>
                </c:pt>
                <c:pt idx="70">
                  <c:v>7.74</c:v>
                </c:pt>
                <c:pt idx="71">
                  <c:v>7.74</c:v>
                </c:pt>
                <c:pt idx="72">
                  <c:v>7.77</c:v>
                </c:pt>
                <c:pt idx="73">
                  <c:v>7.89</c:v>
                </c:pt>
                <c:pt idx="74">
                  <c:v>7.75</c:v>
                </c:pt>
                <c:pt idx="75">
                  <c:v>7.78</c:v>
                </c:pt>
                <c:pt idx="76">
                  <c:v>8.06</c:v>
                </c:pt>
                <c:pt idx="77">
                  <c:v>8.24</c:v>
                </c:pt>
                <c:pt idx="78">
                  <c:v>8.23</c:v>
                </c:pt>
                <c:pt idx="79">
                  <c:v>8.16</c:v>
                </c:pt>
                <c:pt idx="80">
                  <c:v>8.36</c:v>
                </c:pt>
                <c:pt idx="81">
                  <c:v>8.32</c:v>
                </c:pt>
                <c:pt idx="82">
                  <c:v>8.33</c:v>
                </c:pt>
                <c:pt idx="83">
                  <c:v>8.2100000000000009</c:v>
                </c:pt>
                <c:pt idx="84">
                  <c:v>8.09</c:v>
                </c:pt>
                <c:pt idx="85">
                  <c:v>8.2799999999999994</c:v>
                </c:pt>
                <c:pt idx="86">
                  <c:v>8.4</c:v>
                </c:pt>
                <c:pt idx="87">
                  <c:v>8.42</c:v>
                </c:pt>
                <c:pt idx="88">
                  <c:v>8</c:v>
                </c:pt>
                <c:pt idx="89">
                  <c:v>8.0399999999999991</c:v>
                </c:pt>
                <c:pt idx="90">
                  <c:v>7.92</c:v>
                </c:pt>
                <c:pt idx="91">
                  <c:v>7.7</c:v>
                </c:pt>
                <c:pt idx="92">
                  <c:v>7.81</c:v>
                </c:pt>
                <c:pt idx="93">
                  <c:v>7.82</c:v>
                </c:pt>
                <c:pt idx="94">
                  <c:v>7.78</c:v>
                </c:pt>
                <c:pt idx="95">
                  <c:v>7.73</c:v>
                </c:pt>
                <c:pt idx="96">
                  <c:v>7.96</c:v>
                </c:pt>
                <c:pt idx="97">
                  <c:v>7.82</c:v>
                </c:pt>
                <c:pt idx="98">
                  <c:v>7.79</c:v>
                </c:pt>
                <c:pt idx="99">
                  <c:v>8</c:v>
                </c:pt>
                <c:pt idx="100">
                  <c:v>8.0500000000000007</c:v>
                </c:pt>
                <c:pt idx="101">
                  <c:v>8.1199999999999992</c:v>
                </c:pt>
                <c:pt idx="102">
                  <c:v>8.01</c:v>
                </c:pt>
                <c:pt idx="103">
                  <c:v>7.77</c:v>
                </c:pt>
                <c:pt idx="104">
                  <c:v>7.49</c:v>
                </c:pt>
                <c:pt idx="105">
                  <c:v>7.5</c:v>
                </c:pt>
                <c:pt idx="106">
                  <c:v>7.78</c:v>
                </c:pt>
                <c:pt idx="107">
                  <c:v>7.78</c:v>
                </c:pt>
                <c:pt idx="108">
                  <c:v>7.72</c:v>
                </c:pt>
                <c:pt idx="109">
                  <c:v>7.87</c:v>
                </c:pt>
                <c:pt idx="110">
                  <c:v>7.92</c:v>
                </c:pt>
                <c:pt idx="111">
                  <c:v>7.92</c:v>
                </c:pt>
                <c:pt idx="112">
                  <c:v>8.1</c:v>
                </c:pt>
                <c:pt idx="113">
                  <c:v>8.24</c:v>
                </c:pt>
                <c:pt idx="114">
                  <c:v>8.25</c:v>
                </c:pt>
                <c:pt idx="115">
                  <c:v>8.15</c:v>
                </c:pt>
                <c:pt idx="116">
                  <c:v>8.0500000000000007</c:v>
                </c:pt>
                <c:pt idx="117">
                  <c:v>7.835</c:v>
                </c:pt>
                <c:pt idx="118">
                  <c:v>7.88</c:v>
                </c:pt>
                <c:pt idx="119">
                  <c:v>7.84</c:v>
                </c:pt>
                <c:pt idx="120">
                  <c:v>7.9</c:v>
                </c:pt>
                <c:pt idx="121">
                  <c:v>8.0399999999999991</c:v>
                </c:pt>
                <c:pt idx="122">
                  <c:v>8.11</c:v>
                </c:pt>
                <c:pt idx="123">
                  <c:v>7.97</c:v>
                </c:pt>
                <c:pt idx="124">
                  <c:v>8.0500000000000007</c:v>
                </c:pt>
                <c:pt idx="125">
                  <c:v>8.0299999999999994</c:v>
                </c:pt>
                <c:pt idx="126">
                  <c:v>8.14</c:v>
                </c:pt>
                <c:pt idx="127">
                  <c:v>8.43</c:v>
                </c:pt>
                <c:pt idx="128">
                  <c:v>8.43</c:v>
                </c:pt>
                <c:pt idx="129">
                  <c:v>8.58</c:v>
                </c:pt>
                <c:pt idx="130">
                  <c:v>8.5</c:v>
                </c:pt>
                <c:pt idx="131">
                  <c:v>8.25</c:v>
                </c:pt>
                <c:pt idx="132">
                  <c:v>8.33</c:v>
                </c:pt>
                <c:pt idx="133">
                  <c:v>8.49</c:v>
                </c:pt>
                <c:pt idx="134">
                  <c:v>8.57</c:v>
                </c:pt>
                <c:pt idx="135">
                  <c:v>8.49</c:v>
                </c:pt>
                <c:pt idx="136">
                  <c:v>8.5500000000000007</c:v>
                </c:pt>
                <c:pt idx="137">
                  <c:v>8.41</c:v>
                </c:pt>
                <c:pt idx="138">
                  <c:v>8.1199999999999992</c:v>
                </c:pt>
                <c:pt idx="139">
                  <c:v>7.98</c:v>
                </c:pt>
                <c:pt idx="140">
                  <c:v>7.87</c:v>
                </c:pt>
                <c:pt idx="141">
                  <c:v>7.74</c:v>
                </c:pt>
                <c:pt idx="142">
                  <c:v>7.93</c:v>
                </c:pt>
                <c:pt idx="143">
                  <c:v>8.16</c:v>
                </c:pt>
                <c:pt idx="144">
                  <c:v>8.33</c:v>
                </c:pt>
                <c:pt idx="145">
                  <c:v>8.35</c:v>
                </c:pt>
                <c:pt idx="146">
                  <c:v>8.49</c:v>
                </c:pt>
                <c:pt idx="147">
                  <c:v>8.44</c:v>
                </c:pt>
                <c:pt idx="148">
                  <c:v>8.8000000000000007</c:v>
                </c:pt>
                <c:pt idx="149">
                  <c:v>8.6</c:v>
                </c:pt>
                <c:pt idx="150">
                  <c:v>8.5250000000000004</c:v>
                </c:pt>
                <c:pt idx="151">
                  <c:v>8.48</c:v>
                </c:pt>
                <c:pt idx="152">
                  <c:v>8.23</c:v>
                </c:pt>
                <c:pt idx="153">
                  <c:v>8.25</c:v>
                </c:pt>
                <c:pt idx="154">
                  <c:v>8.33</c:v>
                </c:pt>
                <c:pt idx="155">
                  <c:v>8.6</c:v>
                </c:pt>
                <c:pt idx="156">
                  <c:v>8.4600000000000009</c:v>
                </c:pt>
                <c:pt idx="157">
                  <c:v>8.27</c:v>
                </c:pt>
                <c:pt idx="158">
                  <c:v>8.2799999999999994</c:v>
                </c:pt>
                <c:pt idx="159">
                  <c:v>8.25</c:v>
                </c:pt>
                <c:pt idx="160">
                  <c:v>8.4499999999999993</c:v>
                </c:pt>
                <c:pt idx="161">
                  <c:v>8.4</c:v>
                </c:pt>
                <c:pt idx="162">
                  <c:v>8.52</c:v>
                </c:pt>
                <c:pt idx="163">
                  <c:v>8.66</c:v>
                </c:pt>
                <c:pt idx="164">
                  <c:v>9.61</c:v>
                </c:pt>
                <c:pt idx="165">
                  <c:v>9.3800000000000008</c:v>
                </c:pt>
                <c:pt idx="166">
                  <c:v>9.17</c:v>
                </c:pt>
                <c:pt idx="167">
                  <c:v>8.9</c:v>
                </c:pt>
                <c:pt idx="168">
                  <c:v>8.8699999999999992</c:v>
                </c:pt>
                <c:pt idx="169">
                  <c:v>9.14</c:v>
                </c:pt>
                <c:pt idx="170">
                  <c:v>8.94</c:v>
                </c:pt>
                <c:pt idx="171">
                  <c:v>8.7799999999999994</c:v>
                </c:pt>
                <c:pt idx="172">
                  <c:v>8.4600000000000009</c:v>
                </c:pt>
                <c:pt idx="173">
                  <c:v>8.6</c:v>
                </c:pt>
                <c:pt idx="174">
                  <c:v>8.2100000000000009</c:v>
                </c:pt>
                <c:pt idx="175">
                  <c:v>8.1</c:v>
                </c:pt>
                <c:pt idx="176">
                  <c:v>8.18</c:v>
                </c:pt>
                <c:pt idx="177">
                  <c:v>7.9</c:v>
                </c:pt>
                <c:pt idx="178">
                  <c:v>7.47</c:v>
                </c:pt>
                <c:pt idx="179">
                  <c:v>7.53</c:v>
                </c:pt>
                <c:pt idx="180">
                  <c:v>7.5</c:v>
                </c:pt>
                <c:pt idx="181">
                  <c:v>7.7</c:v>
                </c:pt>
                <c:pt idx="182">
                  <c:v>7.98</c:v>
                </c:pt>
                <c:pt idx="183">
                  <c:v>7.83</c:v>
                </c:pt>
                <c:pt idx="184">
                  <c:v>7.61</c:v>
                </c:pt>
                <c:pt idx="185">
                  <c:v>7.6749999999999998</c:v>
                </c:pt>
                <c:pt idx="186">
                  <c:v>7.74</c:v>
                </c:pt>
                <c:pt idx="187">
                  <c:v>7.95</c:v>
                </c:pt>
                <c:pt idx="188">
                  <c:v>8.2200000000000006</c:v>
                </c:pt>
                <c:pt idx="189">
                  <c:v>8.06</c:v>
                </c:pt>
                <c:pt idx="190">
                  <c:v>8.1349999999999998</c:v>
                </c:pt>
                <c:pt idx="191">
                  <c:v>8.08</c:v>
                </c:pt>
                <c:pt idx="192">
                  <c:v>7.6950000000000003</c:v>
                </c:pt>
                <c:pt idx="193">
                  <c:v>7.55</c:v>
                </c:pt>
                <c:pt idx="194">
                  <c:v>7.57</c:v>
                </c:pt>
                <c:pt idx="195">
                  <c:v>7.51</c:v>
                </c:pt>
                <c:pt idx="196">
                  <c:v>7</c:v>
                </c:pt>
                <c:pt idx="197">
                  <c:v>7.12</c:v>
                </c:pt>
                <c:pt idx="198">
                  <c:v>6.99</c:v>
                </c:pt>
                <c:pt idx="199">
                  <c:v>7.5</c:v>
                </c:pt>
                <c:pt idx="200">
                  <c:v>7.41</c:v>
                </c:pt>
                <c:pt idx="201">
                  <c:v>7.5</c:v>
                </c:pt>
                <c:pt idx="202">
                  <c:v>7.54</c:v>
                </c:pt>
                <c:pt idx="203">
                  <c:v>7.56</c:v>
                </c:pt>
                <c:pt idx="204">
                  <c:v>7.67</c:v>
                </c:pt>
                <c:pt idx="205">
                  <c:v>7.51</c:v>
                </c:pt>
                <c:pt idx="206">
                  <c:v>8</c:v>
                </c:pt>
                <c:pt idx="207">
                  <c:v>7.86</c:v>
                </c:pt>
                <c:pt idx="208">
                  <c:v>7.88</c:v>
                </c:pt>
                <c:pt idx="209">
                  <c:v>7.87</c:v>
                </c:pt>
                <c:pt idx="210">
                  <c:v>8.0299999999999994</c:v>
                </c:pt>
                <c:pt idx="211">
                  <c:v>7.95</c:v>
                </c:pt>
                <c:pt idx="212">
                  <c:v>7.91</c:v>
                </c:pt>
                <c:pt idx="213">
                  <c:v>7.95</c:v>
                </c:pt>
                <c:pt idx="214">
                  <c:v>7.91</c:v>
                </c:pt>
                <c:pt idx="215">
                  <c:v>7.94</c:v>
                </c:pt>
                <c:pt idx="216">
                  <c:v>7.92</c:v>
                </c:pt>
                <c:pt idx="217">
                  <c:v>8.01</c:v>
                </c:pt>
                <c:pt idx="218">
                  <c:v>8.24</c:v>
                </c:pt>
                <c:pt idx="219">
                  <c:v>8.66</c:v>
                </c:pt>
                <c:pt idx="220">
                  <c:v>8.73</c:v>
                </c:pt>
                <c:pt idx="221">
                  <c:v>8.58</c:v>
                </c:pt>
                <c:pt idx="222">
                  <c:v>8.42</c:v>
                </c:pt>
                <c:pt idx="223">
                  <c:v>8.3000000000000007</c:v>
                </c:pt>
                <c:pt idx="224">
                  <c:v>8.2799999999999994</c:v>
                </c:pt>
                <c:pt idx="225">
                  <c:v>8.24</c:v>
                </c:pt>
                <c:pt idx="226">
                  <c:v>7.74</c:v>
                </c:pt>
                <c:pt idx="227">
                  <c:v>7.7</c:v>
                </c:pt>
                <c:pt idx="228">
                  <c:v>7.84</c:v>
                </c:pt>
                <c:pt idx="229">
                  <c:v>7.49</c:v>
                </c:pt>
                <c:pt idx="230">
                  <c:v>7.5</c:v>
                </c:pt>
                <c:pt idx="231">
                  <c:v>7.68</c:v>
                </c:pt>
                <c:pt idx="232">
                  <c:v>7.94</c:v>
                </c:pt>
                <c:pt idx="233">
                  <c:v>7.96</c:v>
                </c:pt>
                <c:pt idx="234">
                  <c:v>7.73</c:v>
                </c:pt>
                <c:pt idx="235">
                  <c:v>7.93</c:v>
                </c:pt>
                <c:pt idx="236">
                  <c:v>7.97</c:v>
                </c:pt>
                <c:pt idx="237">
                  <c:v>7.98</c:v>
                </c:pt>
                <c:pt idx="238">
                  <c:v>7.97</c:v>
                </c:pt>
                <c:pt idx="239">
                  <c:v>7.86</c:v>
                </c:pt>
                <c:pt idx="240">
                  <c:v>7.8</c:v>
                </c:pt>
                <c:pt idx="241">
                  <c:v>7.59</c:v>
                </c:pt>
                <c:pt idx="242">
                  <c:v>7.54</c:v>
                </c:pt>
                <c:pt idx="243">
                  <c:v>7.78</c:v>
                </c:pt>
                <c:pt idx="244">
                  <c:v>7.81</c:v>
                </c:pt>
                <c:pt idx="245">
                  <c:v>7.6</c:v>
                </c:pt>
                <c:pt idx="246">
                  <c:v>7.43</c:v>
                </c:pt>
                <c:pt idx="247">
                  <c:v>7.42</c:v>
                </c:pt>
                <c:pt idx="248">
                  <c:v>7.45</c:v>
                </c:pt>
                <c:pt idx="249">
                  <c:v>7.44</c:v>
                </c:pt>
                <c:pt idx="250">
                  <c:v>7.51</c:v>
                </c:pt>
                <c:pt idx="251">
                  <c:v>7.65</c:v>
                </c:pt>
                <c:pt idx="252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0-4A8A-992C-F679AB61FBAB}"/>
            </c:ext>
          </c:extLst>
        </c:ser>
        <c:ser>
          <c:idx val="2"/>
          <c:order val="2"/>
          <c:tx>
            <c:strRef>
              <c:f>'Stock Chart'!$D$1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noFill/>
              <a:round/>
            </a:ln>
            <a:effectLst>
              <a:outerShdw blurRad="25400" dist="63500" dir="6600000" sx="68000" sy="68000" algn="ctr" rotWithShape="0">
                <a:schemeClr val="bg1"/>
              </a:outerShdw>
            </a:effectLst>
          </c:spPr>
          <c:marker>
            <c:symbol val="none"/>
          </c:marker>
          <c:cat>
            <c:strRef>
              <c:f>'Stock Chart'!$A:$A</c:f>
              <c:strCache>
                <c:ptCount val="254"/>
                <c:pt idx="0">
                  <c:v>Date</c:v>
                </c:pt>
                <c:pt idx="1">
                  <c:v>7/1/2024</c:v>
                </c:pt>
                <c:pt idx="2">
                  <c:v>7/2/2024</c:v>
                </c:pt>
                <c:pt idx="3">
                  <c:v>7/3/2024</c:v>
                </c:pt>
                <c:pt idx="4">
                  <c:v>7/4/2024</c:v>
                </c:pt>
                <c:pt idx="5">
                  <c:v>7/5/2024</c:v>
                </c:pt>
                <c:pt idx="6">
                  <c:v>7/8/2024</c:v>
                </c:pt>
                <c:pt idx="7">
                  <c:v>7/9/2024</c:v>
                </c:pt>
                <c:pt idx="8">
                  <c:v>7/10/2024</c:v>
                </c:pt>
                <c:pt idx="9">
                  <c:v>7/11/2024</c:v>
                </c:pt>
                <c:pt idx="10">
                  <c:v>7/12/2024</c:v>
                </c:pt>
                <c:pt idx="11">
                  <c:v>7/15/2024</c:v>
                </c:pt>
                <c:pt idx="12">
                  <c:v>7/16/2024</c:v>
                </c:pt>
                <c:pt idx="13">
                  <c:v>7/17/2024</c:v>
                </c:pt>
                <c:pt idx="14">
                  <c:v>7/18/2024</c:v>
                </c:pt>
                <c:pt idx="15">
                  <c:v>7/19/2024</c:v>
                </c:pt>
                <c:pt idx="16">
                  <c:v>7/22/2024</c:v>
                </c:pt>
                <c:pt idx="17">
                  <c:v>7/23/2024</c:v>
                </c:pt>
                <c:pt idx="18">
                  <c:v>7/24/2024</c:v>
                </c:pt>
                <c:pt idx="19">
                  <c:v>7/25/2024</c:v>
                </c:pt>
                <c:pt idx="20">
                  <c:v>7/26/2024</c:v>
                </c:pt>
                <c:pt idx="21">
                  <c:v>7/29/2024</c:v>
                </c:pt>
                <c:pt idx="22">
                  <c:v>7/30/2024</c:v>
                </c:pt>
                <c:pt idx="23">
                  <c:v>7/31/2024</c:v>
                </c:pt>
                <c:pt idx="24">
                  <c:v>8/1/2024</c:v>
                </c:pt>
                <c:pt idx="25">
                  <c:v>8/2/2024</c:v>
                </c:pt>
                <c:pt idx="26">
                  <c:v>8/5/2024</c:v>
                </c:pt>
                <c:pt idx="27">
                  <c:v>8/6/2024</c:v>
                </c:pt>
                <c:pt idx="28">
                  <c:v>8/7/2024</c:v>
                </c:pt>
                <c:pt idx="29">
                  <c:v>8/8/2024</c:v>
                </c:pt>
                <c:pt idx="30">
                  <c:v>8/9/2024</c:v>
                </c:pt>
                <c:pt idx="31">
                  <c:v>8/12/2024</c:v>
                </c:pt>
                <c:pt idx="32">
                  <c:v>8/13/2024</c:v>
                </c:pt>
                <c:pt idx="33">
                  <c:v>8/14/2024</c:v>
                </c:pt>
                <c:pt idx="34">
                  <c:v>8/15/2024</c:v>
                </c:pt>
                <c:pt idx="35">
                  <c:v>8/16/2024</c:v>
                </c:pt>
                <c:pt idx="36">
                  <c:v>8/19/2024</c:v>
                </c:pt>
                <c:pt idx="37">
                  <c:v>8/20/2024</c:v>
                </c:pt>
                <c:pt idx="38">
                  <c:v>8/21/2024</c:v>
                </c:pt>
                <c:pt idx="39">
                  <c:v>8/22/2024</c:v>
                </c:pt>
                <c:pt idx="40">
                  <c:v>8/23/2024</c:v>
                </c:pt>
                <c:pt idx="41">
                  <c:v>8/26/2024</c:v>
                </c:pt>
                <c:pt idx="42">
                  <c:v>8/27/2024</c:v>
                </c:pt>
                <c:pt idx="43">
                  <c:v>8/28/2024</c:v>
                </c:pt>
                <c:pt idx="44">
                  <c:v>8/29/2024</c:v>
                </c:pt>
                <c:pt idx="45">
                  <c:v>8/30/2024</c:v>
                </c:pt>
                <c:pt idx="46">
                  <c:v>9/2/2024</c:v>
                </c:pt>
                <c:pt idx="47">
                  <c:v>9/3/2024</c:v>
                </c:pt>
                <c:pt idx="48">
                  <c:v>9/4/2024</c:v>
                </c:pt>
                <c:pt idx="49">
                  <c:v>9/5/2024</c:v>
                </c:pt>
                <c:pt idx="50">
                  <c:v>9/6/2024</c:v>
                </c:pt>
                <c:pt idx="51">
                  <c:v>9/9/2024</c:v>
                </c:pt>
                <c:pt idx="52">
                  <c:v>9/10/2024</c:v>
                </c:pt>
                <c:pt idx="53">
                  <c:v>9/11/2024</c:v>
                </c:pt>
                <c:pt idx="54">
                  <c:v>9/12/2024</c:v>
                </c:pt>
                <c:pt idx="55">
                  <c:v>9/13/2024</c:v>
                </c:pt>
                <c:pt idx="56">
                  <c:v>9/16/2024</c:v>
                </c:pt>
                <c:pt idx="57">
                  <c:v>9/17/2024</c:v>
                </c:pt>
                <c:pt idx="58">
                  <c:v>9/18/2024</c:v>
                </c:pt>
                <c:pt idx="59">
                  <c:v>9/19/2024</c:v>
                </c:pt>
                <c:pt idx="60">
                  <c:v>9/20/2024</c:v>
                </c:pt>
                <c:pt idx="61">
                  <c:v>9/23/2024</c:v>
                </c:pt>
                <c:pt idx="62">
                  <c:v>9/24/2024</c:v>
                </c:pt>
                <c:pt idx="63">
                  <c:v>9/25/2024</c:v>
                </c:pt>
                <c:pt idx="64">
                  <c:v>9/26/2024</c:v>
                </c:pt>
                <c:pt idx="65">
                  <c:v>9/27/2024</c:v>
                </c:pt>
                <c:pt idx="66">
                  <c:v>9/30/2024</c:v>
                </c:pt>
                <c:pt idx="67">
                  <c:v>10/1/2024</c:v>
                </c:pt>
                <c:pt idx="68">
                  <c:v>10/2/2024</c:v>
                </c:pt>
                <c:pt idx="69">
                  <c:v>10/3/2024</c:v>
                </c:pt>
                <c:pt idx="70">
                  <c:v>10/4/2024</c:v>
                </c:pt>
                <c:pt idx="71">
                  <c:v>10/7/2024</c:v>
                </c:pt>
                <c:pt idx="72">
                  <c:v>10/8/2024</c:v>
                </c:pt>
                <c:pt idx="73">
                  <c:v>10/9/2024</c:v>
                </c:pt>
                <c:pt idx="74">
                  <c:v>10/10/2024</c:v>
                </c:pt>
                <c:pt idx="75">
                  <c:v>10/11/2024</c:v>
                </c:pt>
                <c:pt idx="76">
                  <c:v>10/14/2024</c:v>
                </c:pt>
                <c:pt idx="77">
                  <c:v>10/15/2024</c:v>
                </c:pt>
                <c:pt idx="78">
                  <c:v>10/16/2024</c:v>
                </c:pt>
                <c:pt idx="79">
                  <c:v>10/17/2024</c:v>
                </c:pt>
                <c:pt idx="80">
                  <c:v>10/18/2024</c:v>
                </c:pt>
                <c:pt idx="81">
                  <c:v>10/21/2024</c:v>
                </c:pt>
                <c:pt idx="82">
                  <c:v>10/22/2024</c:v>
                </c:pt>
                <c:pt idx="83">
                  <c:v>10/23/2024</c:v>
                </c:pt>
                <c:pt idx="84">
                  <c:v>10/24/2024</c:v>
                </c:pt>
                <c:pt idx="85">
                  <c:v>10/25/2024</c:v>
                </c:pt>
                <c:pt idx="86">
                  <c:v>10/28/2024</c:v>
                </c:pt>
                <c:pt idx="87">
                  <c:v>10/29/2024</c:v>
                </c:pt>
                <c:pt idx="88">
                  <c:v>10/30/2024</c:v>
                </c:pt>
                <c:pt idx="89">
                  <c:v>10/31/2024</c:v>
                </c:pt>
                <c:pt idx="90">
                  <c:v>11/1/2024</c:v>
                </c:pt>
                <c:pt idx="91">
                  <c:v>11/4/2024</c:v>
                </c:pt>
                <c:pt idx="92">
                  <c:v>11/5/2024</c:v>
                </c:pt>
                <c:pt idx="93">
                  <c:v>11/6/2024</c:v>
                </c:pt>
                <c:pt idx="94">
                  <c:v>11/7/2024</c:v>
                </c:pt>
                <c:pt idx="95">
                  <c:v>11/8/2024</c:v>
                </c:pt>
                <c:pt idx="96">
                  <c:v>11/11/2024</c:v>
                </c:pt>
                <c:pt idx="97">
                  <c:v>11/12/2024</c:v>
                </c:pt>
                <c:pt idx="98">
                  <c:v>11/13/2024</c:v>
                </c:pt>
                <c:pt idx="99">
                  <c:v>11/14/2024</c:v>
                </c:pt>
                <c:pt idx="100">
                  <c:v>11/15/2024</c:v>
                </c:pt>
                <c:pt idx="101">
                  <c:v>11/18/2024</c:v>
                </c:pt>
                <c:pt idx="102">
                  <c:v>11/19/2024</c:v>
                </c:pt>
                <c:pt idx="103">
                  <c:v>11/20/2024</c:v>
                </c:pt>
                <c:pt idx="104">
                  <c:v>11/21/2024</c:v>
                </c:pt>
                <c:pt idx="105">
                  <c:v>11/22/2024</c:v>
                </c:pt>
                <c:pt idx="106">
                  <c:v>11/25/2024</c:v>
                </c:pt>
                <c:pt idx="107">
                  <c:v>11/26/2024</c:v>
                </c:pt>
                <c:pt idx="108">
                  <c:v>11/27/2024</c:v>
                </c:pt>
                <c:pt idx="109">
                  <c:v>11/28/2024</c:v>
                </c:pt>
                <c:pt idx="110">
                  <c:v>11/29/2024</c:v>
                </c:pt>
                <c:pt idx="111">
                  <c:v>12/2/2024</c:v>
                </c:pt>
                <c:pt idx="112">
                  <c:v>12/3/2024</c:v>
                </c:pt>
                <c:pt idx="113">
                  <c:v>12/4/2024</c:v>
                </c:pt>
                <c:pt idx="114">
                  <c:v>12/5/2024</c:v>
                </c:pt>
                <c:pt idx="115">
                  <c:v>12/6/2024</c:v>
                </c:pt>
                <c:pt idx="116">
                  <c:v>12/9/2024</c:v>
                </c:pt>
                <c:pt idx="117">
                  <c:v>12/10/2024</c:v>
                </c:pt>
                <c:pt idx="118">
                  <c:v>12/11/2024</c:v>
                </c:pt>
                <c:pt idx="119">
                  <c:v>12/12/2024</c:v>
                </c:pt>
                <c:pt idx="120">
                  <c:v>12/13/2024</c:v>
                </c:pt>
                <c:pt idx="121">
                  <c:v>12/16/2024</c:v>
                </c:pt>
                <c:pt idx="122">
                  <c:v>12/17/2024</c:v>
                </c:pt>
                <c:pt idx="123">
                  <c:v>12/18/2024</c:v>
                </c:pt>
                <c:pt idx="124">
                  <c:v>12/19/2024</c:v>
                </c:pt>
                <c:pt idx="125">
                  <c:v>12/20/2024</c:v>
                </c:pt>
                <c:pt idx="126">
                  <c:v>12/23/2024</c:v>
                </c:pt>
                <c:pt idx="127">
                  <c:v>12/24/2024</c:v>
                </c:pt>
                <c:pt idx="128">
                  <c:v>12/27/2024</c:v>
                </c:pt>
                <c:pt idx="129">
                  <c:v>12/30/2024</c:v>
                </c:pt>
                <c:pt idx="130">
                  <c:v>12/31/2024</c:v>
                </c:pt>
                <c:pt idx="131">
                  <c:v>1/2/2025</c:v>
                </c:pt>
                <c:pt idx="132">
                  <c:v>1/3/2025</c:v>
                </c:pt>
                <c:pt idx="133">
                  <c:v>1/6/2025</c:v>
                </c:pt>
                <c:pt idx="134">
                  <c:v>1/7/2025</c:v>
                </c:pt>
                <c:pt idx="135">
                  <c:v>1/8/2025</c:v>
                </c:pt>
                <c:pt idx="136">
                  <c:v>1/9/2025</c:v>
                </c:pt>
                <c:pt idx="137">
                  <c:v>1/10/2025</c:v>
                </c:pt>
                <c:pt idx="138">
                  <c:v>1/13/2025</c:v>
                </c:pt>
                <c:pt idx="139">
                  <c:v>1/14/2025</c:v>
                </c:pt>
                <c:pt idx="140">
                  <c:v>1/15/2025</c:v>
                </c:pt>
                <c:pt idx="141">
                  <c:v>1/16/2025</c:v>
                </c:pt>
                <c:pt idx="142">
                  <c:v>1/17/2025</c:v>
                </c:pt>
                <c:pt idx="143">
                  <c:v>1/20/2025</c:v>
                </c:pt>
                <c:pt idx="144">
                  <c:v>1/21/2025</c:v>
                </c:pt>
                <c:pt idx="145">
                  <c:v>1/22/2025</c:v>
                </c:pt>
                <c:pt idx="146">
                  <c:v>1/23/2025</c:v>
                </c:pt>
                <c:pt idx="147">
                  <c:v>1/24/2025</c:v>
                </c:pt>
                <c:pt idx="148">
                  <c:v>1/28/2025</c:v>
                </c:pt>
                <c:pt idx="149">
                  <c:v>1/29/2025</c:v>
                </c:pt>
                <c:pt idx="150">
                  <c:v>1/30/2025</c:v>
                </c:pt>
                <c:pt idx="151">
                  <c:v>1/31/2025</c:v>
                </c:pt>
                <c:pt idx="152">
                  <c:v>2/3/2025</c:v>
                </c:pt>
                <c:pt idx="153">
                  <c:v>2/4/2025</c:v>
                </c:pt>
                <c:pt idx="154">
                  <c:v>2/5/2025</c:v>
                </c:pt>
                <c:pt idx="155">
                  <c:v>2/6/2025</c:v>
                </c:pt>
                <c:pt idx="156">
                  <c:v>2/7/2025</c:v>
                </c:pt>
                <c:pt idx="157">
                  <c:v>2/10/2025</c:v>
                </c:pt>
                <c:pt idx="158">
                  <c:v>2/11/2025</c:v>
                </c:pt>
                <c:pt idx="159">
                  <c:v>2/12/2025</c:v>
                </c:pt>
                <c:pt idx="160">
                  <c:v>2/13/2025</c:v>
                </c:pt>
                <c:pt idx="161">
                  <c:v>2/14/2025</c:v>
                </c:pt>
                <c:pt idx="162">
                  <c:v>2/17/2025</c:v>
                </c:pt>
                <c:pt idx="163">
                  <c:v>2/18/2025</c:v>
                </c:pt>
                <c:pt idx="164">
                  <c:v>2/19/2025</c:v>
                </c:pt>
                <c:pt idx="165">
                  <c:v>2/20/2025</c:v>
                </c:pt>
                <c:pt idx="166">
                  <c:v>2/21/2025</c:v>
                </c:pt>
                <c:pt idx="167">
                  <c:v>2/24/2025</c:v>
                </c:pt>
                <c:pt idx="168">
                  <c:v>2/25/2025</c:v>
                </c:pt>
                <c:pt idx="169">
                  <c:v>2/26/2025</c:v>
                </c:pt>
                <c:pt idx="170">
                  <c:v>2/27/2025</c:v>
                </c:pt>
                <c:pt idx="171">
                  <c:v>2/28/2025</c:v>
                </c:pt>
                <c:pt idx="172">
                  <c:v>3/3/2025</c:v>
                </c:pt>
                <c:pt idx="173">
                  <c:v>3/4/2025</c:v>
                </c:pt>
                <c:pt idx="174">
                  <c:v>3/5/2025</c:v>
                </c:pt>
                <c:pt idx="175">
                  <c:v>3/6/2025</c:v>
                </c:pt>
                <c:pt idx="176">
                  <c:v>3/7/2025</c:v>
                </c:pt>
                <c:pt idx="177">
                  <c:v>3/10/2025</c:v>
                </c:pt>
                <c:pt idx="178">
                  <c:v>3/11/2025</c:v>
                </c:pt>
                <c:pt idx="179">
                  <c:v>3/12/2025</c:v>
                </c:pt>
                <c:pt idx="180">
                  <c:v>3/13/2025</c:v>
                </c:pt>
                <c:pt idx="181">
                  <c:v>3/14/2025</c:v>
                </c:pt>
                <c:pt idx="182">
                  <c:v>3/17/2025</c:v>
                </c:pt>
                <c:pt idx="183">
                  <c:v>3/18/2025</c:v>
                </c:pt>
                <c:pt idx="184">
                  <c:v>3/19/2025</c:v>
                </c:pt>
                <c:pt idx="185">
                  <c:v>3/20/2025</c:v>
                </c:pt>
                <c:pt idx="186">
                  <c:v>3/21/2025</c:v>
                </c:pt>
                <c:pt idx="187">
                  <c:v>3/24/2025</c:v>
                </c:pt>
                <c:pt idx="188">
                  <c:v>3/25/2025</c:v>
                </c:pt>
                <c:pt idx="189">
                  <c:v>3/26/2025</c:v>
                </c:pt>
                <c:pt idx="190">
                  <c:v>3/27/2025</c:v>
                </c:pt>
                <c:pt idx="191">
                  <c:v>3/28/2025</c:v>
                </c:pt>
                <c:pt idx="192">
                  <c:v>3/31/2025</c:v>
                </c:pt>
                <c:pt idx="193">
                  <c:v>4/1/2025</c:v>
                </c:pt>
                <c:pt idx="194">
                  <c:v>4/2/2025</c:v>
                </c:pt>
                <c:pt idx="195">
                  <c:v>4/3/2025</c:v>
                </c:pt>
                <c:pt idx="196">
                  <c:v>4/4/2025</c:v>
                </c:pt>
                <c:pt idx="197">
                  <c:v>4/7/2025</c:v>
                </c:pt>
                <c:pt idx="198">
                  <c:v>4/8/2025</c:v>
                </c:pt>
                <c:pt idx="199">
                  <c:v>4/9/2025</c:v>
                </c:pt>
                <c:pt idx="200">
                  <c:v>4/10/2025</c:v>
                </c:pt>
                <c:pt idx="201">
                  <c:v>4/11/2025</c:v>
                </c:pt>
                <c:pt idx="202">
                  <c:v>4/14/2025</c:v>
                </c:pt>
                <c:pt idx="203">
                  <c:v>4/15/2025</c:v>
                </c:pt>
                <c:pt idx="204">
                  <c:v>4/16/2025</c:v>
                </c:pt>
                <c:pt idx="205">
                  <c:v>4/17/2025</c:v>
                </c:pt>
                <c:pt idx="206">
                  <c:v>4/22/2025</c:v>
                </c:pt>
                <c:pt idx="207">
                  <c:v>4/23/2025</c:v>
                </c:pt>
                <c:pt idx="208">
                  <c:v>4/24/2025</c:v>
                </c:pt>
                <c:pt idx="209">
                  <c:v>4/28/2025</c:v>
                </c:pt>
                <c:pt idx="210">
                  <c:v>4/29/2025</c:v>
                </c:pt>
                <c:pt idx="211">
                  <c:v>4/30/2025</c:v>
                </c:pt>
                <c:pt idx="212">
                  <c:v>5/1/2025</c:v>
                </c:pt>
                <c:pt idx="213">
                  <c:v>5/2/2025</c:v>
                </c:pt>
                <c:pt idx="214">
                  <c:v>5/5/2025</c:v>
                </c:pt>
                <c:pt idx="215">
                  <c:v>5/6/2025</c:v>
                </c:pt>
                <c:pt idx="216">
                  <c:v>5/7/2025</c:v>
                </c:pt>
                <c:pt idx="217">
                  <c:v>5/8/2025</c:v>
                </c:pt>
                <c:pt idx="218">
                  <c:v>5/9/2025</c:v>
                </c:pt>
                <c:pt idx="219">
                  <c:v>5/12/2025</c:v>
                </c:pt>
                <c:pt idx="220">
                  <c:v>5/13/2025</c:v>
                </c:pt>
                <c:pt idx="221">
                  <c:v>5/14/2025</c:v>
                </c:pt>
                <c:pt idx="222">
                  <c:v>5/15/2025</c:v>
                </c:pt>
                <c:pt idx="223">
                  <c:v>5/16/2025</c:v>
                </c:pt>
                <c:pt idx="224">
                  <c:v>5/19/2025</c:v>
                </c:pt>
                <c:pt idx="225">
                  <c:v>5/20/2025</c:v>
                </c:pt>
                <c:pt idx="226">
                  <c:v>5/21/2025</c:v>
                </c:pt>
                <c:pt idx="227">
                  <c:v>5/22/2025</c:v>
                </c:pt>
                <c:pt idx="228">
                  <c:v>5/23/2025</c:v>
                </c:pt>
                <c:pt idx="229">
                  <c:v>5/26/2025</c:v>
                </c:pt>
                <c:pt idx="230">
                  <c:v>5/27/2025</c:v>
                </c:pt>
                <c:pt idx="231">
                  <c:v>5/28/2025</c:v>
                </c:pt>
                <c:pt idx="232">
                  <c:v>5/29/2025</c:v>
                </c:pt>
                <c:pt idx="233">
                  <c:v>5/30/2025</c:v>
                </c:pt>
                <c:pt idx="234">
                  <c:v>6/2/2025</c:v>
                </c:pt>
                <c:pt idx="235">
                  <c:v>6/3/2025</c:v>
                </c:pt>
                <c:pt idx="236">
                  <c:v>6/4/2025</c:v>
                </c:pt>
                <c:pt idx="237">
                  <c:v>6/5/2025</c:v>
                </c:pt>
                <c:pt idx="238">
                  <c:v>6/6/2025</c:v>
                </c:pt>
                <c:pt idx="239">
                  <c:v>6/10/2025</c:v>
                </c:pt>
                <c:pt idx="240">
                  <c:v>6/11/2025</c:v>
                </c:pt>
                <c:pt idx="241">
                  <c:v>6/12/2025</c:v>
                </c:pt>
                <c:pt idx="242">
                  <c:v>6/13/2025</c:v>
                </c:pt>
                <c:pt idx="243">
                  <c:v>6/16/2025</c:v>
                </c:pt>
                <c:pt idx="244">
                  <c:v>6/17/2025</c:v>
                </c:pt>
                <c:pt idx="245">
                  <c:v>6/18/2025</c:v>
                </c:pt>
                <c:pt idx="246">
                  <c:v>6/19/2025</c:v>
                </c:pt>
                <c:pt idx="247">
                  <c:v>6/20/2025</c:v>
                </c:pt>
                <c:pt idx="248">
                  <c:v>6/23/2025</c:v>
                </c:pt>
                <c:pt idx="249">
                  <c:v>6/24/2025</c:v>
                </c:pt>
                <c:pt idx="250">
                  <c:v>6/25/2025</c:v>
                </c:pt>
                <c:pt idx="251">
                  <c:v>6/26/2025</c:v>
                </c:pt>
                <c:pt idx="252">
                  <c:v>6/27/2025</c:v>
                </c:pt>
                <c:pt idx="253">
                  <c:v>6/30/2025</c:v>
                </c:pt>
              </c:strCache>
            </c:strRef>
          </c:cat>
          <c:val>
            <c:numRef>
              <c:f>'Stock Chart'!$D$2:$D$254</c:f>
              <c:numCache>
                <c:formatCode>General</c:formatCode>
                <c:ptCount val="253"/>
                <c:pt idx="0">
                  <c:v>4.8499999999999996</c:v>
                </c:pt>
                <c:pt idx="1">
                  <c:v>4.88</c:v>
                </c:pt>
                <c:pt idx="2">
                  <c:v>4.8099999999999996</c:v>
                </c:pt>
                <c:pt idx="3">
                  <c:v>4.83</c:v>
                </c:pt>
                <c:pt idx="4">
                  <c:v>4.8099999999999996</c:v>
                </c:pt>
                <c:pt idx="5">
                  <c:v>4.79</c:v>
                </c:pt>
                <c:pt idx="6">
                  <c:v>4.84</c:v>
                </c:pt>
                <c:pt idx="7">
                  <c:v>4.8099999999999996</c:v>
                </c:pt>
                <c:pt idx="8">
                  <c:v>4.92</c:v>
                </c:pt>
                <c:pt idx="9">
                  <c:v>4.99</c:v>
                </c:pt>
                <c:pt idx="10">
                  <c:v>4.91</c:v>
                </c:pt>
                <c:pt idx="11">
                  <c:v>5</c:v>
                </c:pt>
                <c:pt idx="12">
                  <c:v>5.22</c:v>
                </c:pt>
                <c:pt idx="13">
                  <c:v>5.23</c:v>
                </c:pt>
                <c:pt idx="14">
                  <c:v>5.55</c:v>
                </c:pt>
                <c:pt idx="15">
                  <c:v>5.7</c:v>
                </c:pt>
                <c:pt idx="16">
                  <c:v>5.85</c:v>
                </c:pt>
                <c:pt idx="17">
                  <c:v>5.86</c:v>
                </c:pt>
                <c:pt idx="18">
                  <c:v>5.74</c:v>
                </c:pt>
                <c:pt idx="19">
                  <c:v>5.65</c:v>
                </c:pt>
                <c:pt idx="20">
                  <c:v>5.75</c:v>
                </c:pt>
                <c:pt idx="21">
                  <c:v>5.71</c:v>
                </c:pt>
                <c:pt idx="22">
                  <c:v>5.77</c:v>
                </c:pt>
                <c:pt idx="23">
                  <c:v>5.98</c:v>
                </c:pt>
                <c:pt idx="24">
                  <c:v>5.82</c:v>
                </c:pt>
                <c:pt idx="25">
                  <c:v>5.65</c:v>
                </c:pt>
                <c:pt idx="26">
                  <c:v>5.65</c:v>
                </c:pt>
                <c:pt idx="27">
                  <c:v>5.84</c:v>
                </c:pt>
                <c:pt idx="28">
                  <c:v>5.82</c:v>
                </c:pt>
                <c:pt idx="29">
                  <c:v>5.82</c:v>
                </c:pt>
                <c:pt idx="30">
                  <c:v>5.85</c:v>
                </c:pt>
                <c:pt idx="31">
                  <c:v>6.05</c:v>
                </c:pt>
                <c:pt idx="32">
                  <c:v>6.04</c:v>
                </c:pt>
                <c:pt idx="33">
                  <c:v>6.05</c:v>
                </c:pt>
                <c:pt idx="34">
                  <c:v>6.04</c:v>
                </c:pt>
                <c:pt idx="35">
                  <c:v>6.07</c:v>
                </c:pt>
                <c:pt idx="36">
                  <c:v>6.08</c:v>
                </c:pt>
                <c:pt idx="37">
                  <c:v>6.3049999999999997</c:v>
                </c:pt>
                <c:pt idx="38">
                  <c:v>6.71</c:v>
                </c:pt>
                <c:pt idx="39">
                  <c:v>6.88</c:v>
                </c:pt>
                <c:pt idx="40">
                  <c:v>6.92</c:v>
                </c:pt>
                <c:pt idx="41">
                  <c:v>6.95</c:v>
                </c:pt>
                <c:pt idx="42">
                  <c:v>6.95</c:v>
                </c:pt>
                <c:pt idx="43">
                  <c:v>6.82</c:v>
                </c:pt>
                <c:pt idx="44">
                  <c:v>6.85</c:v>
                </c:pt>
                <c:pt idx="45">
                  <c:v>6.83</c:v>
                </c:pt>
                <c:pt idx="46">
                  <c:v>6.91</c:v>
                </c:pt>
                <c:pt idx="47">
                  <c:v>6.7</c:v>
                </c:pt>
                <c:pt idx="48">
                  <c:v>6.76</c:v>
                </c:pt>
                <c:pt idx="49">
                  <c:v>6.81</c:v>
                </c:pt>
                <c:pt idx="50">
                  <c:v>6.67</c:v>
                </c:pt>
                <c:pt idx="51">
                  <c:v>6.63</c:v>
                </c:pt>
                <c:pt idx="52">
                  <c:v>6.6</c:v>
                </c:pt>
                <c:pt idx="53">
                  <c:v>6.42</c:v>
                </c:pt>
                <c:pt idx="54">
                  <c:v>6.64</c:v>
                </c:pt>
                <c:pt idx="55">
                  <c:v>6.65</c:v>
                </c:pt>
                <c:pt idx="56">
                  <c:v>6.64</c:v>
                </c:pt>
                <c:pt idx="57">
                  <c:v>6.7</c:v>
                </c:pt>
                <c:pt idx="58">
                  <c:v>6.73</c:v>
                </c:pt>
                <c:pt idx="59">
                  <c:v>6.77</c:v>
                </c:pt>
                <c:pt idx="60">
                  <c:v>6.85</c:v>
                </c:pt>
                <c:pt idx="61">
                  <c:v>6.92</c:v>
                </c:pt>
                <c:pt idx="62">
                  <c:v>7.04</c:v>
                </c:pt>
                <c:pt idx="63">
                  <c:v>7.09</c:v>
                </c:pt>
                <c:pt idx="64">
                  <c:v>7.2</c:v>
                </c:pt>
                <c:pt idx="65">
                  <c:v>7.32</c:v>
                </c:pt>
                <c:pt idx="66">
                  <c:v>7.42</c:v>
                </c:pt>
                <c:pt idx="67">
                  <c:v>7.53</c:v>
                </c:pt>
                <c:pt idx="68">
                  <c:v>7.5350000000000001</c:v>
                </c:pt>
                <c:pt idx="69">
                  <c:v>7.55</c:v>
                </c:pt>
                <c:pt idx="70">
                  <c:v>7.56</c:v>
                </c:pt>
                <c:pt idx="71">
                  <c:v>7.58</c:v>
                </c:pt>
                <c:pt idx="72">
                  <c:v>7.6</c:v>
                </c:pt>
                <c:pt idx="73">
                  <c:v>7.64</c:v>
                </c:pt>
                <c:pt idx="74">
                  <c:v>7.61</c:v>
                </c:pt>
                <c:pt idx="75">
                  <c:v>7.53</c:v>
                </c:pt>
                <c:pt idx="76">
                  <c:v>7.56</c:v>
                </c:pt>
                <c:pt idx="77">
                  <c:v>7.94</c:v>
                </c:pt>
                <c:pt idx="78">
                  <c:v>8.0299999999999994</c:v>
                </c:pt>
                <c:pt idx="79">
                  <c:v>7.95</c:v>
                </c:pt>
                <c:pt idx="80">
                  <c:v>8.08</c:v>
                </c:pt>
                <c:pt idx="81">
                  <c:v>7.9649999999999999</c:v>
                </c:pt>
                <c:pt idx="82">
                  <c:v>8.1199999999999992</c:v>
                </c:pt>
                <c:pt idx="83">
                  <c:v>7.84</c:v>
                </c:pt>
                <c:pt idx="84">
                  <c:v>7.94</c:v>
                </c:pt>
                <c:pt idx="85">
                  <c:v>7.97</c:v>
                </c:pt>
                <c:pt idx="86">
                  <c:v>8.02</c:v>
                </c:pt>
                <c:pt idx="87">
                  <c:v>7.5149999999999997</c:v>
                </c:pt>
                <c:pt idx="88">
                  <c:v>7.49</c:v>
                </c:pt>
                <c:pt idx="89">
                  <c:v>7.72</c:v>
                </c:pt>
                <c:pt idx="90">
                  <c:v>7.57</c:v>
                </c:pt>
                <c:pt idx="91">
                  <c:v>7.6</c:v>
                </c:pt>
                <c:pt idx="92">
                  <c:v>7.6349999999999998</c:v>
                </c:pt>
                <c:pt idx="93">
                  <c:v>7.59</c:v>
                </c:pt>
                <c:pt idx="94">
                  <c:v>7.51</c:v>
                </c:pt>
                <c:pt idx="95">
                  <c:v>7.55</c:v>
                </c:pt>
                <c:pt idx="96">
                  <c:v>7.59</c:v>
                </c:pt>
                <c:pt idx="97">
                  <c:v>7.54</c:v>
                </c:pt>
                <c:pt idx="98">
                  <c:v>7.6849999999999996</c:v>
                </c:pt>
                <c:pt idx="99">
                  <c:v>7.63</c:v>
                </c:pt>
                <c:pt idx="100">
                  <c:v>7.75</c:v>
                </c:pt>
                <c:pt idx="101">
                  <c:v>8</c:v>
                </c:pt>
                <c:pt idx="102">
                  <c:v>7.77</c:v>
                </c:pt>
                <c:pt idx="103">
                  <c:v>7.46</c:v>
                </c:pt>
                <c:pt idx="104">
                  <c:v>7.33</c:v>
                </c:pt>
                <c:pt idx="105">
                  <c:v>7.22</c:v>
                </c:pt>
                <c:pt idx="106">
                  <c:v>7.44</c:v>
                </c:pt>
                <c:pt idx="107">
                  <c:v>7.57</c:v>
                </c:pt>
                <c:pt idx="108">
                  <c:v>7.55</c:v>
                </c:pt>
                <c:pt idx="109">
                  <c:v>7.42</c:v>
                </c:pt>
                <c:pt idx="110">
                  <c:v>7.56</c:v>
                </c:pt>
                <c:pt idx="111">
                  <c:v>7.65</c:v>
                </c:pt>
                <c:pt idx="112">
                  <c:v>7.73</c:v>
                </c:pt>
                <c:pt idx="113">
                  <c:v>8.07</c:v>
                </c:pt>
                <c:pt idx="114">
                  <c:v>8.01</c:v>
                </c:pt>
                <c:pt idx="115">
                  <c:v>7.91</c:v>
                </c:pt>
                <c:pt idx="116">
                  <c:v>7.76</c:v>
                </c:pt>
                <c:pt idx="117">
                  <c:v>7.66</c:v>
                </c:pt>
                <c:pt idx="118">
                  <c:v>7.68</c:v>
                </c:pt>
                <c:pt idx="119">
                  <c:v>7.72</c:v>
                </c:pt>
                <c:pt idx="120">
                  <c:v>7.72</c:v>
                </c:pt>
                <c:pt idx="121">
                  <c:v>7.75</c:v>
                </c:pt>
                <c:pt idx="122">
                  <c:v>7.97</c:v>
                </c:pt>
                <c:pt idx="123">
                  <c:v>7.83</c:v>
                </c:pt>
                <c:pt idx="124">
                  <c:v>7.73</c:v>
                </c:pt>
                <c:pt idx="125">
                  <c:v>7.82</c:v>
                </c:pt>
                <c:pt idx="126">
                  <c:v>7.85</c:v>
                </c:pt>
                <c:pt idx="127">
                  <c:v>8.14</c:v>
                </c:pt>
                <c:pt idx="128">
                  <c:v>8.2200000000000006</c:v>
                </c:pt>
                <c:pt idx="129">
                  <c:v>8.1</c:v>
                </c:pt>
                <c:pt idx="130">
                  <c:v>8.0399999999999991</c:v>
                </c:pt>
                <c:pt idx="131">
                  <c:v>8.1</c:v>
                </c:pt>
                <c:pt idx="132">
                  <c:v>8.14</c:v>
                </c:pt>
                <c:pt idx="133">
                  <c:v>8.2899999999999991</c:v>
                </c:pt>
                <c:pt idx="134">
                  <c:v>8.31</c:v>
                </c:pt>
                <c:pt idx="135">
                  <c:v>8.35</c:v>
                </c:pt>
                <c:pt idx="136">
                  <c:v>8.2899999999999991</c:v>
                </c:pt>
                <c:pt idx="137">
                  <c:v>7.92</c:v>
                </c:pt>
                <c:pt idx="138">
                  <c:v>7.97</c:v>
                </c:pt>
                <c:pt idx="139">
                  <c:v>7.76</c:v>
                </c:pt>
                <c:pt idx="140">
                  <c:v>7.68</c:v>
                </c:pt>
                <c:pt idx="141">
                  <c:v>7.55</c:v>
                </c:pt>
                <c:pt idx="142">
                  <c:v>7.52</c:v>
                </c:pt>
                <c:pt idx="143">
                  <c:v>7.89</c:v>
                </c:pt>
                <c:pt idx="144">
                  <c:v>8</c:v>
                </c:pt>
                <c:pt idx="145">
                  <c:v>8.1</c:v>
                </c:pt>
                <c:pt idx="146">
                  <c:v>8.02</c:v>
                </c:pt>
                <c:pt idx="147">
                  <c:v>8.31</c:v>
                </c:pt>
                <c:pt idx="148">
                  <c:v>8.39</c:v>
                </c:pt>
                <c:pt idx="149">
                  <c:v>8.31</c:v>
                </c:pt>
                <c:pt idx="150">
                  <c:v>8.33</c:v>
                </c:pt>
                <c:pt idx="151">
                  <c:v>8.1300000000000008</c:v>
                </c:pt>
                <c:pt idx="152">
                  <c:v>8.1</c:v>
                </c:pt>
                <c:pt idx="153">
                  <c:v>7.95</c:v>
                </c:pt>
                <c:pt idx="154">
                  <c:v>8.0399999999999991</c:v>
                </c:pt>
                <c:pt idx="155">
                  <c:v>8.2899999999999991</c:v>
                </c:pt>
                <c:pt idx="156">
                  <c:v>8.07</c:v>
                </c:pt>
                <c:pt idx="157">
                  <c:v>8.02</c:v>
                </c:pt>
                <c:pt idx="158">
                  <c:v>8.07</c:v>
                </c:pt>
                <c:pt idx="159">
                  <c:v>8.0250000000000004</c:v>
                </c:pt>
                <c:pt idx="160">
                  <c:v>8.2650000000000006</c:v>
                </c:pt>
                <c:pt idx="161">
                  <c:v>8.15</c:v>
                </c:pt>
                <c:pt idx="162">
                  <c:v>8.2200000000000006</c:v>
                </c:pt>
                <c:pt idx="163">
                  <c:v>8.43</c:v>
                </c:pt>
                <c:pt idx="164">
                  <c:v>8.84</c:v>
                </c:pt>
                <c:pt idx="165">
                  <c:v>9.09</c:v>
                </c:pt>
                <c:pt idx="166">
                  <c:v>8.7200000000000006</c:v>
                </c:pt>
                <c:pt idx="167">
                  <c:v>8.64</c:v>
                </c:pt>
                <c:pt idx="168">
                  <c:v>8.56</c:v>
                </c:pt>
                <c:pt idx="169">
                  <c:v>8.92</c:v>
                </c:pt>
                <c:pt idx="170">
                  <c:v>8.64</c:v>
                </c:pt>
                <c:pt idx="171">
                  <c:v>8.19</c:v>
                </c:pt>
                <c:pt idx="172">
                  <c:v>8.08</c:v>
                </c:pt>
                <c:pt idx="173">
                  <c:v>8.1300000000000008</c:v>
                </c:pt>
                <c:pt idx="174">
                  <c:v>7.96</c:v>
                </c:pt>
                <c:pt idx="175">
                  <c:v>7.89</c:v>
                </c:pt>
                <c:pt idx="176">
                  <c:v>7.92</c:v>
                </c:pt>
                <c:pt idx="177">
                  <c:v>7.4</c:v>
                </c:pt>
                <c:pt idx="178">
                  <c:v>7.17</c:v>
                </c:pt>
                <c:pt idx="179">
                  <c:v>7.31</c:v>
                </c:pt>
                <c:pt idx="180">
                  <c:v>7.23</c:v>
                </c:pt>
                <c:pt idx="181">
                  <c:v>7.4</c:v>
                </c:pt>
                <c:pt idx="182">
                  <c:v>7.69</c:v>
                </c:pt>
                <c:pt idx="183">
                  <c:v>7.35</c:v>
                </c:pt>
                <c:pt idx="184">
                  <c:v>7.45</c:v>
                </c:pt>
                <c:pt idx="185">
                  <c:v>7.49</c:v>
                </c:pt>
                <c:pt idx="186">
                  <c:v>7.49</c:v>
                </c:pt>
                <c:pt idx="187">
                  <c:v>7.64</c:v>
                </c:pt>
                <c:pt idx="188">
                  <c:v>7.95</c:v>
                </c:pt>
                <c:pt idx="189">
                  <c:v>7.86</c:v>
                </c:pt>
                <c:pt idx="190">
                  <c:v>7.6</c:v>
                </c:pt>
                <c:pt idx="191">
                  <c:v>7.51</c:v>
                </c:pt>
                <c:pt idx="192">
                  <c:v>7.45</c:v>
                </c:pt>
                <c:pt idx="193">
                  <c:v>7.34</c:v>
                </c:pt>
                <c:pt idx="194">
                  <c:v>7.21</c:v>
                </c:pt>
                <c:pt idx="195">
                  <c:v>7.03</c:v>
                </c:pt>
                <c:pt idx="196">
                  <c:v>6.58</c:v>
                </c:pt>
                <c:pt idx="197">
                  <c:v>6.84</c:v>
                </c:pt>
                <c:pt idx="198">
                  <c:v>6.74</c:v>
                </c:pt>
                <c:pt idx="199">
                  <c:v>7.15</c:v>
                </c:pt>
                <c:pt idx="200">
                  <c:v>7.14</c:v>
                </c:pt>
                <c:pt idx="201">
                  <c:v>7.19</c:v>
                </c:pt>
                <c:pt idx="202">
                  <c:v>7.33</c:v>
                </c:pt>
                <c:pt idx="203">
                  <c:v>7.28</c:v>
                </c:pt>
                <c:pt idx="204">
                  <c:v>7.32</c:v>
                </c:pt>
                <c:pt idx="205">
                  <c:v>7.3</c:v>
                </c:pt>
                <c:pt idx="206">
                  <c:v>7.38</c:v>
                </c:pt>
                <c:pt idx="207">
                  <c:v>7.55</c:v>
                </c:pt>
                <c:pt idx="208">
                  <c:v>7.5</c:v>
                </c:pt>
                <c:pt idx="209">
                  <c:v>7.65</c:v>
                </c:pt>
                <c:pt idx="210">
                  <c:v>7.65</c:v>
                </c:pt>
                <c:pt idx="211">
                  <c:v>7.65</c:v>
                </c:pt>
                <c:pt idx="212">
                  <c:v>7.63</c:v>
                </c:pt>
                <c:pt idx="213">
                  <c:v>7.65</c:v>
                </c:pt>
                <c:pt idx="214">
                  <c:v>7.53</c:v>
                </c:pt>
                <c:pt idx="215">
                  <c:v>7.58</c:v>
                </c:pt>
                <c:pt idx="216">
                  <c:v>7.7649999999999997</c:v>
                </c:pt>
                <c:pt idx="217">
                  <c:v>7.78</c:v>
                </c:pt>
                <c:pt idx="218">
                  <c:v>7.98</c:v>
                </c:pt>
                <c:pt idx="219">
                  <c:v>8.1999999999999993</c:v>
                </c:pt>
                <c:pt idx="220">
                  <c:v>8.23</c:v>
                </c:pt>
                <c:pt idx="221">
                  <c:v>8</c:v>
                </c:pt>
                <c:pt idx="222">
                  <c:v>8.27</c:v>
                </c:pt>
                <c:pt idx="223">
                  <c:v>8.14</c:v>
                </c:pt>
                <c:pt idx="224">
                  <c:v>8.1</c:v>
                </c:pt>
                <c:pt idx="225">
                  <c:v>7.65</c:v>
                </c:pt>
                <c:pt idx="226">
                  <c:v>7.53</c:v>
                </c:pt>
                <c:pt idx="227">
                  <c:v>7.6</c:v>
                </c:pt>
                <c:pt idx="228">
                  <c:v>7.06</c:v>
                </c:pt>
                <c:pt idx="229">
                  <c:v>7.1</c:v>
                </c:pt>
                <c:pt idx="230">
                  <c:v>7.24</c:v>
                </c:pt>
                <c:pt idx="231">
                  <c:v>7.25</c:v>
                </c:pt>
                <c:pt idx="232">
                  <c:v>7.37</c:v>
                </c:pt>
                <c:pt idx="233">
                  <c:v>7.51</c:v>
                </c:pt>
                <c:pt idx="234">
                  <c:v>7.49</c:v>
                </c:pt>
                <c:pt idx="235">
                  <c:v>7.61</c:v>
                </c:pt>
                <c:pt idx="236">
                  <c:v>7.8</c:v>
                </c:pt>
                <c:pt idx="237">
                  <c:v>7.8</c:v>
                </c:pt>
                <c:pt idx="238">
                  <c:v>7.72</c:v>
                </c:pt>
                <c:pt idx="239">
                  <c:v>7.7350000000000003</c:v>
                </c:pt>
                <c:pt idx="240">
                  <c:v>7.58</c:v>
                </c:pt>
                <c:pt idx="241">
                  <c:v>7.16</c:v>
                </c:pt>
                <c:pt idx="242">
                  <c:v>7.32</c:v>
                </c:pt>
                <c:pt idx="243">
                  <c:v>7.46</c:v>
                </c:pt>
                <c:pt idx="244">
                  <c:v>7.4</c:v>
                </c:pt>
                <c:pt idx="245">
                  <c:v>7.36</c:v>
                </c:pt>
                <c:pt idx="246">
                  <c:v>7.3</c:v>
                </c:pt>
                <c:pt idx="247">
                  <c:v>7.1</c:v>
                </c:pt>
                <c:pt idx="248">
                  <c:v>7.21</c:v>
                </c:pt>
                <c:pt idx="249">
                  <c:v>7.23</c:v>
                </c:pt>
                <c:pt idx="250">
                  <c:v>7.27</c:v>
                </c:pt>
                <c:pt idx="251">
                  <c:v>7.33</c:v>
                </c:pt>
                <c:pt idx="252">
                  <c:v>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80-4A8A-992C-F679AB61FBAB}"/>
            </c:ext>
          </c:extLst>
        </c:ser>
        <c:ser>
          <c:idx val="3"/>
          <c:order val="3"/>
          <c:tx>
            <c:strRef>
              <c:f>'Stock Chart'!$E$1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'Stock Chart'!$A:$A</c:f>
              <c:strCache>
                <c:ptCount val="254"/>
                <c:pt idx="0">
                  <c:v>Date</c:v>
                </c:pt>
                <c:pt idx="1">
                  <c:v>7/1/2024</c:v>
                </c:pt>
                <c:pt idx="2">
                  <c:v>7/2/2024</c:v>
                </c:pt>
                <c:pt idx="3">
                  <c:v>7/3/2024</c:v>
                </c:pt>
                <c:pt idx="4">
                  <c:v>7/4/2024</c:v>
                </c:pt>
                <c:pt idx="5">
                  <c:v>7/5/2024</c:v>
                </c:pt>
                <c:pt idx="6">
                  <c:v>7/8/2024</c:v>
                </c:pt>
                <c:pt idx="7">
                  <c:v>7/9/2024</c:v>
                </c:pt>
                <c:pt idx="8">
                  <c:v>7/10/2024</c:v>
                </c:pt>
                <c:pt idx="9">
                  <c:v>7/11/2024</c:v>
                </c:pt>
                <c:pt idx="10">
                  <c:v>7/12/2024</c:v>
                </c:pt>
                <c:pt idx="11">
                  <c:v>7/15/2024</c:v>
                </c:pt>
                <c:pt idx="12">
                  <c:v>7/16/2024</c:v>
                </c:pt>
                <c:pt idx="13">
                  <c:v>7/17/2024</c:v>
                </c:pt>
                <c:pt idx="14">
                  <c:v>7/18/2024</c:v>
                </c:pt>
                <c:pt idx="15">
                  <c:v>7/19/2024</c:v>
                </c:pt>
                <c:pt idx="16">
                  <c:v>7/22/2024</c:v>
                </c:pt>
                <c:pt idx="17">
                  <c:v>7/23/2024</c:v>
                </c:pt>
                <c:pt idx="18">
                  <c:v>7/24/2024</c:v>
                </c:pt>
                <c:pt idx="19">
                  <c:v>7/25/2024</c:v>
                </c:pt>
                <c:pt idx="20">
                  <c:v>7/26/2024</c:v>
                </c:pt>
                <c:pt idx="21">
                  <c:v>7/29/2024</c:v>
                </c:pt>
                <c:pt idx="22">
                  <c:v>7/30/2024</c:v>
                </c:pt>
                <c:pt idx="23">
                  <c:v>7/31/2024</c:v>
                </c:pt>
                <c:pt idx="24">
                  <c:v>8/1/2024</c:v>
                </c:pt>
                <c:pt idx="25">
                  <c:v>8/2/2024</c:v>
                </c:pt>
                <c:pt idx="26">
                  <c:v>8/5/2024</c:v>
                </c:pt>
                <c:pt idx="27">
                  <c:v>8/6/2024</c:v>
                </c:pt>
                <c:pt idx="28">
                  <c:v>8/7/2024</c:v>
                </c:pt>
                <c:pt idx="29">
                  <c:v>8/8/2024</c:v>
                </c:pt>
                <c:pt idx="30">
                  <c:v>8/9/2024</c:v>
                </c:pt>
                <c:pt idx="31">
                  <c:v>8/12/2024</c:v>
                </c:pt>
                <c:pt idx="32">
                  <c:v>8/13/2024</c:v>
                </c:pt>
                <c:pt idx="33">
                  <c:v>8/14/2024</c:v>
                </c:pt>
                <c:pt idx="34">
                  <c:v>8/15/2024</c:v>
                </c:pt>
                <c:pt idx="35">
                  <c:v>8/16/2024</c:v>
                </c:pt>
                <c:pt idx="36">
                  <c:v>8/19/2024</c:v>
                </c:pt>
                <c:pt idx="37">
                  <c:v>8/20/2024</c:v>
                </c:pt>
                <c:pt idx="38">
                  <c:v>8/21/2024</c:v>
                </c:pt>
                <c:pt idx="39">
                  <c:v>8/22/2024</c:v>
                </c:pt>
                <c:pt idx="40">
                  <c:v>8/23/2024</c:v>
                </c:pt>
                <c:pt idx="41">
                  <c:v>8/26/2024</c:v>
                </c:pt>
                <c:pt idx="42">
                  <c:v>8/27/2024</c:v>
                </c:pt>
                <c:pt idx="43">
                  <c:v>8/28/2024</c:v>
                </c:pt>
                <c:pt idx="44">
                  <c:v>8/29/2024</c:v>
                </c:pt>
                <c:pt idx="45">
                  <c:v>8/30/2024</c:v>
                </c:pt>
                <c:pt idx="46">
                  <c:v>9/2/2024</c:v>
                </c:pt>
                <c:pt idx="47">
                  <c:v>9/3/2024</c:v>
                </c:pt>
                <c:pt idx="48">
                  <c:v>9/4/2024</c:v>
                </c:pt>
                <c:pt idx="49">
                  <c:v>9/5/2024</c:v>
                </c:pt>
                <c:pt idx="50">
                  <c:v>9/6/2024</c:v>
                </c:pt>
                <c:pt idx="51">
                  <c:v>9/9/2024</c:v>
                </c:pt>
                <c:pt idx="52">
                  <c:v>9/10/2024</c:v>
                </c:pt>
                <c:pt idx="53">
                  <c:v>9/11/2024</c:v>
                </c:pt>
                <c:pt idx="54">
                  <c:v>9/12/2024</c:v>
                </c:pt>
                <c:pt idx="55">
                  <c:v>9/13/2024</c:v>
                </c:pt>
                <c:pt idx="56">
                  <c:v>9/16/2024</c:v>
                </c:pt>
                <c:pt idx="57">
                  <c:v>9/17/2024</c:v>
                </c:pt>
                <c:pt idx="58">
                  <c:v>9/18/2024</c:v>
                </c:pt>
                <c:pt idx="59">
                  <c:v>9/19/2024</c:v>
                </c:pt>
                <c:pt idx="60">
                  <c:v>9/20/2024</c:v>
                </c:pt>
                <c:pt idx="61">
                  <c:v>9/23/2024</c:v>
                </c:pt>
                <c:pt idx="62">
                  <c:v>9/24/2024</c:v>
                </c:pt>
                <c:pt idx="63">
                  <c:v>9/25/2024</c:v>
                </c:pt>
                <c:pt idx="64">
                  <c:v>9/26/2024</c:v>
                </c:pt>
                <c:pt idx="65">
                  <c:v>9/27/2024</c:v>
                </c:pt>
                <c:pt idx="66">
                  <c:v>9/30/2024</c:v>
                </c:pt>
                <c:pt idx="67">
                  <c:v>10/1/2024</c:v>
                </c:pt>
                <c:pt idx="68">
                  <c:v>10/2/2024</c:v>
                </c:pt>
                <c:pt idx="69">
                  <c:v>10/3/2024</c:v>
                </c:pt>
                <c:pt idx="70">
                  <c:v>10/4/2024</c:v>
                </c:pt>
                <c:pt idx="71">
                  <c:v>10/7/2024</c:v>
                </c:pt>
                <c:pt idx="72">
                  <c:v>10/8/2024</c:v>
                </c:pt>
                <c:pt idx="73">
                  <c:v>10/9/2024</c:v>
                </c:pt>
                <c:pt idx="74">
                  <c:v>10/10/2024</c:v>
                </c:pt>
                <c:pt idx="75">
                  <c:v>10/11/2024</c:v>
                </c:pt>
                <c:pt idx="76">
                  <c:v>10/14/2024</c:v>
                </c:pt>
                <c:pt idx="77">
                  <c:v>10/15/2024</c:v>
                </c:pt>
                <c:pt idx="78">
                  <c:v>10/16/2024</c:v>
                </c:pt>
                <c:pt idx="79">
                  <c:v>10/17/2024</c:v>
                </c:pt>
                <c:pt idx="80">
                  <c:v>10/18/2024</c:v>
                </c:pt>
                <c:pt idx="81">
                  <c:v>10/21/2024</c:v>
                </c:pt>
                <c:pt idx="82">
                  <c:v>10/22/2024</c:v>
                </c:pt>
                <c:pt idx="83">
                  <c:v>10/23/2024</c:v>
                </c:pt>
                <c:pt idx="84">
                  <c:v>10/24/2024</c:v>
                </c:pt>
                <c:pt idx="85">
                  <c:v>10/25/2024</c:v>
                </c:pt>
                <c:pt idx="86">
                  <c:v>10/28/2024</c:v>
                </c:pt>
                <c:pt idx="87">
                  <c:v>10/29/2024</c:v>
                </c:pt>
                <c:pt idx="88">
                  <c:v>10/30/2024</c:v>
                </c:pt>
                <c:pt idx="89">
                  <c:v>10/31/2024</c:v>
                </c:pt>
                <c:pt idx="90">
                  <c:v>11/1/2024</c:v>
                </c:pt>
                <c:pt idx="91">
                  <c:v>11/4/2024</c:v>
                </c:pt>
                <c:pt idx="92">
                  <c:v>11/5/2024</c:v>
                </c:pt>
                <c:pt idx="93">
                  <c:v>11/6/2024</c:v>
                </c:pt>
                <c:pt idx="94">
                  <c:v>11/7/2024</c:v>
                </c:pt>
                <c:pt idx="95">
                  <c:v>11/8/2024</c:v>
                </c:pt>
                <c:pt idx="96">
                  <c:v>11/11/2024</c:v>
                </c:pt>
                <c:pt idx="97">
                  <c:v>11/12/2024</c:v>
                </c:pt>
                <c:pt idx="98">
                  <c:v>11/13/2024</c:v>
                </c:pt>
                <c:pt idx="99">
                  <c:v>11/14/2024</c:v>
                </c:pt>
                <c:pt idx="100">
                  <c:v>11/15/2024</c:v>
                </c:pt>
                <c:pt idx="101">
                  <c:v>11/18/2024</c:v>
                </c:pt>
                <c:pt idx="102">
                  <c:v>11/19/2024</c:v>
                </c:pt>
                <c:pt idx="103">
                  <c:v>11/20/2024</c:v>
                </c:pt>
                <c:pt idx="104">
                  <c:v>11/21/2024</c:v>
                </c:pt>
                <c:pt idx="105">
                  <c:v>11/22/2024</c:v>
                </c:pt>
                <c:pt idx="106">
                  <c:v>11/25/2024</c:v>
                </c:pt>
                <c:pt idx="107">
                  <c:v>11/26/2024</c:v>
                </c:pt>
                <c:pt idx="108">
                  <c:v>11/27/2024</c:v>
                </c:pt>
                <c:pt idx="109">
                  <c:v>11/28/2024</c:v>
                </c:pt>
                <c:pt idx="110">
                  <c:v>11/29/2024</c:v>
                </c:pt>
                <c:pt idx="111">
                  <c:v>12/2/2024</c:v>
                </c:pt>
                <c:pt idx="112">
                  <c:v>12/3/2024</c:v>
                </c:pt>
                <c:pt idx="113">
                  <c:v>12/4/2024</c:v>
                </c:pt>
                <c:pt idx="114">
                  <c:v>12/5/2024</c:v>
                </c:pt>
                <c:pt idx="115">
                  <c:v>12/6/2024</c:v>
                </c:pt>
                <c:pt idx="116">
                  <c:v>12/9/2024</c:v>
                </c:pt>
                <c:pt idx="117">
                  <c:v>12/10/2024</c:v>
                </c:pt>
                <c:pt idx="118">
                  <c:v>12/11/2024</c:v>
                </c:pt>
                <c:pt idx="119">
                  <c:v>12/12/2024</c:v>
                </c:pt>
                <c:pt idx="120">
                  <c:v>12/13/2024</c:v>
                </c:pt>
                <c:pt idx="121">
                  <c:v>12/16/2024</c:v>
                </c:pt>
                <c:pt idx="122">
                  <c:v>12/17/2024</c:v>
                </c:pt>
                <c:pt idx="123">
                  <c:v>12/18/2024</c:v>
                </c:pt>
                <c:pt idx="124">
                  <c:v>12/19/2024</c:v>
                </c:pt>
                <c:pt idx="125">
                  <c:v>12/20/2024</c:v>
                </c:pt>
                <c:pt idx="126">
                  <c:v>12/23/2024</c:v>
                </c:pt>
                <c:pt idx="127">
                  <c:v>12/24/2024</c:v>
                </c:pt>
                <c:pt idx="128">
                  <c:v>12/27/2024</c:v>
                </c:pt>
                <c:pt idx="129">
                  <c:v>12/30/2024</c:v>
                </c:pt>
                <c:pt idx="130">
                  <c:v>12/31/2024</c:v>
                </c:pt>
                <c:pt idx="131">
                  <c:v>1/2/2025</c:v>
                </c:pt>
                <c:pt idx="132">
                  <c:v>1/3/2025</c:v>
                </c:pt>
                <c:pt idx="133">
                  <c:v>1/6/2025</c:v>
                </c:pt>
                <c:pt idx="134">
                  <c:v>1/7/2025</c:v>
                </c:pt>
                <c:pt idx="135">
                  <c:v>1/8/2025</c:v>
                </c:pt>
                <c:pt idx="136">
                  <c:v>1/9/2025</c:v>
                </c:pt>
                <c:pt idx="137">
                  <c:v>1/10/2025</c:v>
                </c:pt>
                <c:pt idx="138">
                  <c:v>1/13/2025</c:v>
                </c:pt>
                <c:pt idx="139">
                  <c:v>1/14/2025</c:v>
                </c:pt>
                <c:pt idx="140">
                  <c:v>1/15/2025</c:v>
                </c:pt>
                <c:pt idx="141">
                  <c:v>1/16/2025</c:v>
                </c:pt>
                <c:pt idx="142">
                  <c:v>1/17/2025</c:v>
                </c:pt>
                <c:pt idx="143">
                  <c:v>1/20/2025</c:v>
                </c:pt>
                <c:pt idx="144">
                  <c:v>1/21/2025</c:v>
                </c:pt>
                <c:pt idx="145">
                  <c:v>1/22/2025</c:v>
                </c:pt>
                <c:pt idx="146">
                  <c:v>1/23/2025</c:v>
                </c:pt>
                <c:pt idx="147">
                  <c:v>1/24/2025</c:v>
                </c:pt>
                <c:pt idx="148">
                  <c:v>1/28/2025</c:v>
                </c:pt>
                <c:pt idx="149">
                  <c:v>1/29/2025</c:v>
                </c:pt>
                <c:pt idx="150">
                  <c:v>1/30/2025</c:v>
                </c:pt>
                <c:pt idx="151">
                  <c:v>1/31/2025</c:v>
                </c:pt>
                <c:pt idx="152">
                  <c:v>2/3/2025</c:v>
                </c:pt>
                <c:pt idx="153">
                  <c:v>2/4/2025</c:v>
                </c:pt>
                <c:pt idx="154">
                  <c:v>2/5/2025</c:v>
                </c:pt>
                <c:pt idx="155">
                  <c:v>2/6/2025</c:v>
                </c:pt>
                <c:pt idx="156">
                  <c:v>2/7/2025</c:v>
                </c:pt>
                <c:pt idx="157">
                  <c:v>2/10/2025</c:v>
                </c:pt>
                <c:pt idx="158">
                  <c:v>2/11/2025</c:v>
                </c:pt>
                <c:pt idx="159">
                  <c:v>2/12/2025</c:v>
                </c:pt>
                <c:pt idx="160">
                  <c:v>2/13/2025</c:v>
                </c:pt>
                <c:pt idx="161">
                  <c:v>2/14/2025</c:v>
                </c:pt>
                <c:pt idx="162">
                  <c:v>2/17/2025</c:v>
                </c:pt>
                <c:pt idx="163">
                  <c:v>2/18/2025</c:v>
                </c:pt>
                <c:pt idx="164">
                  <c:v>2/19/2025</c:v>
                </c:pt>
                <c:pt idx="165">
                  <c:v>2/20/2025</c:v>
                </c:pt>
                <c:pt idx="166">
                  <c:v>2/21/2025</c:v>
                </c:pt>
                <c:pt idx="167">
                  <c:v>2/24/2025</c:v>
                </c:pt>
                <c:pt idx="168">
                  <c:v>2/25/2025</c:v>
                </c:pt>
                <c:pt idx="169">
                  <c:v>2/26/2025</c:v>
                </c:pt>
                <c:pt idx="170">
                  <c:v>2/27/2025</c:v>
                </c:pt>
                <c:pt idx="171">
                  <c:v>2/28/2025</c:v>
                </c:pt>
                <c:pt idx="172">
                  <c:v>3/3/2025</c:v>
                </c:pt>
                <c:pt idx="173">
                  <c:v>3/4/2025</c:v>
                </c:pt>
                <c:pt idx="174">
                  <c:v>3/5/2025</c:v>
                </c:pt>
                <c:pt idx="175">
                  <c:v>3/6/2025</c:v>
                </c:pt>
                <c:pt idx="176">
                  <c:v>3/7/2025</c:v>
                </c:pt>
                <c:pt idx="177">
                  <c:v>3/10/2025</c:v>
                </c:pt>
                <c:pt idx="178">
                  <c:v>3/11/2025</c:v>
                </c:pt>
                <c:pt idx="179">
                  <c:v>3/12/2025</c:v>
                </c:pt>
                <c:pt idx="180">
                  <c:v>3/13/2025</c:v>
                </c:pt>
                <c:pt idx="181">
                  <c:v>3/14/2025</c:v>
                </c:pt>
                <c:pt idx="182">
                  <c:v>3/17/2025</c:v>
                </c:pt>
                <c:pt idx="183">
                  <c:v>3/18/2025</c:v>
                </c:pt>
                <c:pt idx="184">
                  <c:v>3/19/2025</c:v>
                </c:pt>
                <c:pt idx="185">
                  <c:v>3/20/2025</c:v>
                </c:pt>
                <c:pt idx="186">
                  <c:v>3/21/2025</c:v>
                </c:pt>
                <c:pt idx="187">
                  <c:v>3/24/2025</c:v>
                </c:pt>
                <c:pt idx="188">
                  <c:v>3/25/2025</c:v>
                </c:pt>
                <c:pt idx="189">
                  <c:v>3/26/2025</c:v>
                </c:pt>
                <c:pt idx="190">
                  <c:v>3/27/2025</c:v>
                </c:pt>
                <c:pt idx="191">
                  <c:v>3/28/2025</c:v>
                </c:pt>
                <c:pt idx="192">
                  <c:v>3/31/2025</c:v>
                </c:pt>
                <c:pt idx="193">
                  <c:v>4/1/2025</c:v>
                </c:pt>
                <c:pt idx="194">
                  <c:v>4/2/2025</c:v>
                </c:pt>
                <c:pt idx="195">
                  <c:v>4/3/2025</c:v>
                </c:pt>
                <c:pt idx="196">
                  <c:v>4/4/2025</c:v>
                </c:pt>
                <c:pt idx="197">
                  <c:v>4/7/2025</c:v>
                </c:pt>
                <c:pt idx="198">
                  <c:v>4/8/2025</c:v>
                </c:pt>
                <c:pt idx="199">
                  <c:v>4/9/2025</c:v>
                </c:pt>
                <c:pt idx="200">
                  <c:v>4/10/2025</c:v>
                </c:pt>
                <c:pt idx="201">
                  <c:v>4/11/2025</c:v>
                </c:pt>
                <c:pt idx="202">
                  <c:v>4/14/2025</c:v>
                </c:pt>
                <c:pt idx="203">
                  <c:v>4/15/2025</c:v>
                </c:pt>
                <c:pt idx="204">
                  <c:v>4/16/2025</c:v>
                </c:pt>
                <c:pt idx="205">
                  <c:v>4/17/2025</c:v>
                </c:pt>
                <c:pt idx="206">
                  <c:v>4/22/2025</c:v>
                </c:pt>
                <c:pt idx="207">
                  <c:v>4/23/2025</c:v>
                </c:pt>
                <c:pt idx="208">
                  <c:v>4/24/2025</c:v>
                </c:pt>
                <c:pt idx="209">
                  <c:v>4/28/2025</c:v>
                </c:pt>
                <c:pt idx="210">
                  <c:v>4/29/2025</c:v>
                </c:pt>
                <c:pt idx="211">
                  <c:v>4/30/2025</c:v>
                </c:pt>
                <c:pt idx="212">
                  <c:v>5/1/2025</c:v>
                </c:pt>
                <c:pt idx="213">
                  <c:v>5/2/2025</c:v>
                </c:pt>
                <c:pt idx="214">
                  <c:v>5/5/2025</c:v>
                </c:pt>
                <c:pt idx="215">
                  <c:v>5/6/2025</c:v>
                </c:pt>
                <c:pt idx="216">
                  <c:v>5/7/2025</c:v>
                </c:pt>
                <c:pt idx="217">
                  <c:v>5/8/2025</c:v>
                </c:pt>
                <c:pt idx="218">
                  <c:v>5/9/2025</c:v>
                </c:pt>
                <c:pt idx="219">
                  <c:v>5/12/2025</c:v>
                </c:pt>
                <c:pt idx="220">
                  <c:v>5/13/2025</c:v>
                </c:pt>
                <c:pt idx="221">
                  <c:v>5/14/2025</c:v>
                </c:pt>
                <c:pt idx="222">
                  <c:v>5/15/2025</c:v>
                </c:pt>
                <c:pt idx="223">
                  <c:v>5/16/2025</c:v>
                </c:pt>
                <c:pt idx="224">
                  <c:v>5/19/2025</c:v>
                </c:pt>
                <c:pt idx="225">
                  <c:v>5/20/2025</c:v>
                </c:pt>
                <c:pt idx="226">
                  <c:v>5/21/2025</c:v>
                </c:pt>
                <c:pt idx="227">
                  <c:v>5/22/2025</c:v>
                </c:pt>
                <c:pt idx="228">
                  <c:v>5/23/2025</c:v>
                </c:pt>
                <c:pt idx="229">
                  <c:v>5/26/2025</c:v>
                </c:pt>
                <c:pt idx="230">
                  <c:v>5/27/2025</c:v>
                </c:pt>
                <c:pt idx="231">
                  <c:v>5/28/2025</c:v>
                </c:pt>
                <c:pt idx="232">
                  <c:v>5/29/2025</c:v>
                </c:pt>
                <c:pt idx="233">
                  <c:v>5/30/2025</c:v>
                </c:pt>
                <c:pt idx="234">
                  <c:v>6/2/2025</c:v>
                </c:pt>
                <c:pt idx="235">
                  <c:v>6/3/2025</c:v>
                </c:pt>
                <c:pt idx="236">
                  <c:v>6/4/2025</c:v>
                </c:pt>
                <c:pt idx="237">
                  <c:v>6/5/2025</c:v>
                </c:pt>
                <c:pt idx="238">
                  <c:v>6/6/2025</c:v>
                </c:pt>
                <c:pt idx="239">
                  <c:v>6/10/2025</c:v>
                </c:pt>
                <c:pt idx="240">
                  <c:v>6/11/2025</c:v>
                </c:pt>
                <c:pt idx="241">
                  <c:v>6/12/2025</c:v>
                </c:pt>
                <c:pt idx="242">
                  <c:v>6/13/2025</c:v>
                </c:pt>
                <c:pt idx="243">
                  <c:v>6/16/2025</c:v>
                </c:pt>
                <c:pt idx="244">
                  <c:v>6/17/2025</c:v>
                </c:pt>
                <c:pt idx="245">
                  <c:v>6/18/2025</c:v>
                </c:pt>
                <c:pt idx="246">
                  <c:v>6/19/2025</c:v>
                </c:pt>
                <c:pt idx="247">
                  <c:v>6/20/2025</c:v>
                </c:pt>
                <c:pt idx="248">
                  <c:v>6/23/2025</c:v>
                </c:pt>
                <c:pt idx="249">
                  <c:v>6/24/2025</c:v>
                </c:pt>
                <c:pt idx="250">
                  <c:v>6/25/2025</c:v>
                </c:pt>
                <c:pt idx="251">
                  <c:v>6/26/2025</c:v>
                </c:pt>
                <c:pt idx="252">
                  <c:v>6/27/2025</c:v>
                </c:pt>
                <c:pt idx="253">
                  <c:v>6/30/2025</c:v>
                </c:pt>
              </c:strCache>
            </c:strRef>
          </c:cat>
          <c:val>
            <c:numRef>
              <c:f>'Stock Chart'!$E$2:$E$254</c:f>
              <c:numCache>
                <c:formatCode>General</c:formatCode>
                <c:ptCount val="253"/>
                <c:pt idx="0">
                  <c:v>4.95</c:v>
                </c:pt>
                <c:pt idx="1">
                  <c:v>4.96</c:v>
                </c:pt>
                <c:pt idx="2">
                  <c:v>4.8099999999999996</c:v>
                </c:pt>
                <c:pt idx="3">
                  <c:v>4.84</c:v>
                </c:pt>
                <c:pt idx="4">
                  <c:v>4.82</c:v>
                </c:pt>
                <c:pt idx="5">
                  <c:v>4.8099999999999996</c:v>
                </c:pt>
                <c:pt idx="6">
                  <c:v>4.91</c:v>
                </c:pt>
                <c:pt idx="7">
                  <c:v>4.91</c:v>
                </c:pt>
                <c:pt idx="8">
                  <c:v>5</c:v>
                </c:pt>
                <c:pt idx="9">
                  <c:v>5.08</c:v>
                </c:pt>
                <c:pt idx="10">
                  <c:v>4.95</c:v>
                </c:pt>
                <c:pt idx="11">
                  <c:v>5.19</c:v>
                </c:pt>
                <c:pt idx="12">
                  <c:v>5.38</c:v>
                </c:pt>
                <c:pt idx="13">
                  <c:v>5.46</c:v>
                </c:pt>
                <c:pt idx="14">
                  <c:v>5.75</c:v>
                </c:pt>
                <c:pt idx="15">
                  <c:v>5.77</c:v>
                </c:pt>
                <c:pt idx="16">
                  <c:v>5.88</c:v>
                </c:pt>
                <c:pt idx="17">
                  <c:v>5.9</c:v>
                </c:pt>
                <c:pt idx="18">
                  <c:v>5.75</c:v>
                </c:pt>
                <c:pt idx="19">
                  <c:v>5.65</c:v>
                </c:pt>
                <c:pt idx="20">
                  <c:v>5.8</c:v>
                </c:pt>
                <c:pt idx="21">
                  <c:v>5.75</c:v>
                </c:pt>
                <c:pt idx="22">
                  <c:v>5.82</c:v>
                </c:pt>
                <c:pt idx="23">
                  <c:v>6.03</c:v>
                </c:pt>
                <c:pt idx="24">
                  <c:v>5.99</c:v>
                </c:pt>
                <c:pt idx="25">
                  <c:v>5.65</c:v>
                </c:pt>
                <c:pt idx="26">
                  <c:v>5.85</c:v>
                </c:pt>
                <c:pt idx="27">
                  <c:v>5.94</c:v>
                </c:pt>
                <c:pt idx="28">
                  <c:v>5.82</c:v>
                </c:pt>
                <c:pt idx="29">
                  <c:v>5.89</c:v>
                </c:pt>
                <c:pt idx="30">
                  <c:v>6.01</c:v>
                </c:pt>
                <c:pt idx="31">
                  <c:v>6.15</c:v>
                </c:pt>
                <c:pt idx="32">
                  <c:v>6.09</c:v>
                </c:pt>
                <c:pt idx="33">
                  <c:v>6.1</c:v>
                </c:pt>
                <c:pt idx="34">
                  <c:v>6.1</c:v>
                </c:pt>
                <c:pt idx="35">
                  <c:v>6.07</c:v>
                </c:pt>
                <c:pt idx="36">
                  <c:v>6.42</c:v>
                </c:pt>
                <c:pt idx="37">
                  <c:v>6.34</c:v>
                </c:pt>
                <c:pt idx="38">
                  <c:v>7.05</c:v>
                </c:pt>
                <c:pt idx="39">
                  <c:v>6.88</c:v>
                </c:pt>
                <c:pt idx="40">
                  <c:v>7</c:v>
                </c:pt>
                <c:pt idx="41">
                  <c:v>7</c:v>
                </c:pt>
                <c:pt idx="42">
                  <c:v>6.99</c:v>
                </c:pt>
                <c:pt idx="43">
                  <c:v>6.88</c:v>
                </c:pt>
                <c:pt idx="44">
                  <c:v>6.94</c:v>
                </c:pt>
                <c:pt idx="45">
                  <c:v>7</c:v>
                </c:pt>
                <c:pt idx="46">
                  <c:v>6.98</c:v>
                </c:pt>
                <c:pt idx="47">
                  <c:v>6.82</c:v>
                </c:pt>
                <c:pt idx="48">
                  <c:v>6.78</c:v>
                </c:pt>
                <c:pt idx="49">
                  <c:v>6.85</c:v>
                </c:pt>
                <c:pt idx="50">
                  <c:v>6.72</c:v>
                </c:pt>
                <c:pt idx="51">
                  <c:v>6.65</c:v>
                </c:pt>
                <c:pt idx="52">
                  <c:v>6.66</c:v>
                </c:pt>
                <c:pt idx="53">
                  <c:v>6.7</c:v>
                </c:pt>
                <c:pt idx="54">
                  <c:v>6.67</c:v>
                </c:pt>
                <c:pt idx="55">
                  <c:v>6.7</c:v>
                </c:pt>
                <c:pt idx="56">
                  <c:v>6.7</c:v>
                </c:pt>
                <c:pt idx="57">
                  <c:v>6.75</c:v>
                </c:pt>
                <c:pt idx="58">
                  <c:v>6.76</c:v>
                </c:pt>
                <c:pt idx="59">
                  <c:v>6.91</c:v>
                </c:pt>
                <c:pt idx="60">
                  <c:v>7.04</c:v>
                </c:pt>
                <c:pt idx="61">
                  <c:v>7.08</c:v>
                </c:pt>
                <c:pt idx="62">
                  <c:v>7.09</c:v>
                </c:pt>
                <c:pt idx="63">
                  <c:v>7.3</c:v>
                </c:pt>
                <c:pt idx="64">
                  <c:v>7.31</c:v>
                </c:pt>
                <c:pt idx="65">
                  <c:v>7.5</c:v>
                </c:pt>
                <c:pt idx="66">
                  <c:v>7.64</c:v>
                </c:pt>
                <c:pt idx="67">
                  <c:v>7.7</c:v>
                </c:pt>
                <c:pt idx="68">
                  <c:v>7.75</c:v>
                </c:pt>
                <c:pt idx="69">
                  <c:v>7.6</c:v>
                </c:pt>
                <c:pt idx="70">
                  <c:v>7.7</c:v>
                </c:pt>
                <c:pt idx="71">
                  <c:v>7.65</c:v>
                </c:pt>
                <c:pt idx="72">
                  <c:v>7.75</c:v>
                </c:pt>
                <c:pt idx="73">
                  <c:v>7.7</c:v>
                </c:pt>
                <c:pt idx="74">
                  <c:v>7.71</c:v>
                </c:pt>
                <c:pt idx="75">
                  <c:v>7.62</c:v>
                </c:pt>
                <c:pt idx="76">
                  <c:v>8.0299999999999994</c:v>
                </c:pt>
                <c:pt idx="77">
                  <c:v>8.1199999999999992</c:v>
                </c:pt>
                <c:pt idx="78">
                  <c:v>8.09</c:v>
                </c:pt>
                <c:pt idx="79">
                  <c:v>8.16</c:v>
                </c:pt>
                <c:pt idx="80">
                  <c:v>8.25</c:v>
                </c:pt>
                <c:pt idx="81">
                  <c:v>8.25</c:v>
                </c:pt>
                <c:pt idx="82">
                  <c:v>8.2100000000000009</c:v>
                </c:pt>
                <c:pt idx="83">
                  <c:v>7.96</c:v>
                </c:pt>
                <c:pt idx="84">
                  <c:v>7.98</c:v>
                </c:pt>
                <c:pt idx="85">
                  <c:v>8.19</c:v>
                </c:pt>
                <c:pt idx="86">
                  <c:v>8.33</c:v>
                </c:pt>
                <c:pt idx="87">
                  <c:v>7.99</c:v>
                </c:pt>
                <c:pt idx="88">
                  <c:v>7.88</c:v>
                </c:pt>
                <c:pt idx="89">
                  <c:v>7.8</c:v>
                </c:pt>
                <c:pt idx="90">
                  <c:v>7.65</c:v>
                </c:pt>
                <c:pt idx="91">
                  <c:v>7.64</c:v>
                </c:pt>
                <c:pt idx="92">
                  <c:v>7.68</c:v>
                </c:pt>
                <c:pt idx="93">
                  <c:v>7.61</c:v>
                </c:pt>
                <c:pt idx="94">
                  <c:v>7.73</c:v>
                </c:pt>
                <c:pt idx="95">
                  <c:v>7.73</c:v>
                </c:pt>
                <c:pt idx="96">
                  <c:v>7.83</c:v>
                </c:pt>
                <c:pt idx="97">
                  <c:v>7.78</c:v>
                </c:pt>
                <c:pt idx="98">
                  <c:v>7.75</c:v>
                </c:pt>
                <c:pt idx="99">
                  <c:v>7.92</c:v>
                </c:pt>
                <c:pt idx="100">
                  <c:v>7.91</c:v>
                </c:pt>
                <c:pt idx="101">
                  <c:v>8.01</c:v>
                </c:pt>
                <c:pt idx="102">
                  <c:v>7.77</c:v>
                </c:pt>
                <c:pt idx="103">
                  <c:v>7.46</c:v>
                </c:pt>
                <c:pt idx="104">
                  <c:v>7.44</c:v>
                </c:pt>
                <c:pt idx="105">
                  <c:v>7.46</c:v>
                </c:pt>
                <c:pt idx="106">
                  <c:v>7.66</c:v>
                </c:pt>
                <c:pt idx="107">
                  <c:v>7.66</c:v>
                </c:pt>
                <c:pt idx="108">
                  <c:v>7.55</c:v>
                </c:pt>
                <c:pt idx="109">
                  <c:v>7.8</c:v>
                </c:pt>
                <c:pt idx="110">
                  <c:v>7.66</c:v>
                </c:pt>
                <c:pt idx="111">
                  <c:v>7.9</c:v>
                </c:pt>
                <c:pt idx="112">
                  <c:v>8.08</c:v>
                </c:pt>
                <c:pt idx="113">
                  <c:v>8.14</c:v>
                </c:pt>
                <c:pt idx="114">
                  <c:v>8.06</c:v>
                </c:pt>
                <c:pt idx="115">
                  <c:v>8</c:v>
                </c:pt>
                <c:pt idx="116">
                  <c:v>7.82</c:v>
                </c:pt>
                <c:pt idx="117">
                  <c:v>7.74</c:v>
                </c:pt>
                <c:pt idx="118">
                  <c:v>7.79</c:v>
                </c:pt>
                <c:pt idx="119">
                  <c:v>7.73</c:v>
                </c:pt>
                <c:pt idx="120">
                  <c:v>7.78</c:v>
                </c:pt>
                <c:pt idx="121">
                  <c:v>8.02</c:v>
                </c:pt>
                <c:pt idx="122">
                  <c:v>8.0399999999999991</c:v>
                </c:pt>
                <c:pt idx="123">
                  <c:v>7.94</c:v>
                </c:pt>
                <c:pt idx="124">
                  <c:v>7.97</c:v>
                </c:pt>
                <c:pt idx="125">
                  <c:v>8.02</c:v>
                </c:pt>
                <c:pt idx="126">
                  <c:v>8.14</c:v>
                </c:pt>
                <c:pt idx="127">
                  <c:v>8.39</c:v>
                </c:pt>
                <c:pt idx="128">
                  <c:v>8.31</c:v>
                </c:pt>
                <c:pt idx="129">
                  <c:v>8.58</c:v>
                </c:pt>
                <c:pt idx="130">
                  <c:v>8.1</c:v>
                </c:pt>
                <c:pt idx="131">
                  <c:v>8.18</c:v>
                </c:pt>
                <c:pt idx="132">
                  <c:v>8.25</c:v>
                </c:pt>
                <c:pt idx="133">
                  <c:v>8.44</c:v>
                </c:pt>
                <c:pt idx="134">
                  <c:v>8.3800000000000008</c:v>
                </c:pt>
                <c:pt idx="135">
                  <c:v>8.43</c:v>
                </c:pt>
                <c:pt idx="136">
                  <c:v>8.4</c:v>
                </c:pt>
                <c:pt idx="137">
                  <c:v>8.11</c:v>
                </c:pt>
                <c:pt idx="138">
                  <c:v>8.0299999999999994</c:v>
                </c:pt>
                <c:pt idx="139">
                  <c:v>7.8</c:v>
                </c:pt>
                <c:pt idx="140">
                  <c:v>7.76</c:v>
                </c:pt>
                <c:pt idx="141">
                  <c:v>7.72</c:v>
                </c:pt>
                <c:pt idx="142">
                  <c:v>7.91</c:v>
                </c:pt>
                <c:pt idx="143">
                  <c:v>8.1</c:v>
                </c:pt>
                <c:pt idx="144">
                  <c:v>8.27</c:v>
                </c:pt>
                <c:pt idx="145">
                  <c:v>8.1</c:v>
                </c:pt>
                <c:pt idx="146">
                  <c:v>8.4</c:v>
                </c:pt>
                <c:pt idx="147">
                  <c:v>8.39</c:v>
                </c:pt>
                <c:pt idx="148">
                  <c:v>8.4499999999999993</c:v>
                </c:pt>
                <c:pt idx="149">
                  <c:v>8.4</c:v>
                </c:pt>
                <c:pt idx="150">
                  <c:v>8.52</c:v>
                </c:pt>
                <c:pt idx="151">
                  <c:v>8.17</c:v>
                </c:pt>
                <c:pt idx="152">
                  <c:v>8.11</c:v>
                </c:pt>
                <c:pt idx="153">
                  <c:v>8.09</c:v>
                </c:pt>
                <c:pt idx="154">
                  <c:v>8.3000000000000007</c:v>
                </c:pt>
                <c:pt idx="155">
                  <c:v>8.4700000000000006</c:v>
                </c:pt>
                <c:pt idx="156">
                  <c:v>8.19</c:v>
                </c:pt>
                <c:pt idx="157">
                  <c:v>8.19</c:v>
                </c:pt>
                <c:pt idx="158">
                  <c:v>8.16</c:v>
                </c:pt>
                <c:pt idx="159">
                  <c:v>8.16</c:v>
                </c:pt>
                <c:pt idx="160">
                  <c:v>8.3000000000000007</c:v>
                </c:pt>
                <c:pt idx="161">
                  <c:v>8.4</c:v>
                </c:pt>
                <c:pt idx="162">
                  <c:v>8.43</c:v>
                </c:pt>
                <c:pt idx="163">
                  <c:v>8.48</c:v>
                </c:pt>
                <c:pt idx="164">
                  <c:v>9.3000000000000007</c:v>
                </c:pt>
                <c:pt idx="165">
                  <c:v>9.17</c:v>
                </c:pt>
                <c:pt idx="166">
                  <c:v>8.85</c:v>
                </c:pt>
                <c:pt idx="167">
                  <c:v>8.69</c:v>
                </c:pt>
                <c:pt idx="168">
                  <c:v>8.86</c:v>
                </c:pt>
                <c:pt idx="169">
                  <c:v>8.94</c:v>
                </c:pt>
                <c:pt idx="170">
                  <c:v>8.6999999999999993</c:v>
                </c:pt>
                <c:pt idx="171">
                  <c:v>8.4499999999999993</c:v>
                </c:pt>
                <c:pt idx="172">
                  <c:v>8.36</c:v>
                </c:pt>
                <c:pt idx="173">
                  <c:v>8.4</c:v>
                </c:pt>
                <c:pt idx="174">
                  <c:v>8.14</c:v>
                </c:pt>
                <c:pt idx="175">
                  <c:v>7.93</c:v>
                </c:pt>
                <c:pt idx="176">
                  <c:v>8.02</c:v>
                </c:pt>
                <c:pt idx="177">
                  <c:v>7.55</c:v>
                </c:pt>
                <c:pt idx="178">
                  <c:v>7.42</c:v>
                </c:pt>
                <c:pt idx="179">
                  <c:v>7.4</c:v>
                </c:pt>
                <c:pt idx="180">
                  <c:v>7.4</c:v>
                </c:pt>
                <c:pt idx="181">
                  <c:v>7.65</c:v>
                </c:pt>
                <c:pt idx="182">
                  <c:v>7.9</c:v>
                </c:pt>
                <c:pt idx="183">
                  <c:v>7.49</c:v>
                </c:pt>
                <c:pt idx="184">
                  <c:v>7.5</c:v>
                </c:pt>
                <c:pt idx="185">
                  <c:v>7.53</c:v>
                </c:pt>
                <c:pt idx="186">
                  <c:v>7.59</c:v>
                </c:pt>
                <c:pt idx="187">
                  <c:v>7.95</c:v>
                </c:pt>
                <c:pt idx="188">
                  <c:v>8.0399999999999991</c:v>
                </c:pt>
                <c:pt idx="189">
                  <c:v>8</c:v>
                </c:pt>
                <c:pt idx="190">
                  <c:v>8.1199999999999992</c:v>
                </c:pt>
                <c:pt idx="191">
                  <c:v>7.72</c:v>
                </c:pt>
                <c:pt idx="192">
                  <c:v>7.46</c:v>
                </c:pt>
                <c:pt idx="193">
                  <c:v>7.4</c:v>
                </c:pt>
                <c:pt idx="194">
                  <c:v>7.53</c:v>
                </c:pt>
                <c:pt idx="195">
                  <c:v>7.2</c:v>
                </c:pt>
                <c:pt idx="196">
                  <c:v>6.95</c:v>
                </c:pt>
                <c:pt idx="197">
                  <c:v>6.91</c:v>
                </c:pt>
                <c:pt idx="198">
                  <c:v>6.86</c:v>
                </c:pt>
                <c:pt idx="199">
                  <c:v>7.45</c:v>
                </c:pt>
                <c:pt idx="200">
                  <c:v>7.2</c:v>
                </c:pt>
                <c:pt idx="201">
                  <c:v>7.34</c:v>
                </c:pt>
                <c:pt idx="202">
                  <c:v>7.46</c:v>
                </c:pt>
                <c:pt idx="203">
                  <c:v>7.5</c:v>
                </c:pt>
                <c:pt idx="204">
                  <c:v>7.45</c:v>
                </c:pt>
                <c:pt idx="205">
                  <c:v>7.34</c:v>
                </c:pt>
                <c:pt idx="206">
                  <c:v>7.76</c:v>
                </c:pt>
                <c:pt idx="207">
                  <c:v>7.65</c:v>
                </c:pt>
                <c:pt idx="208">
                  <c:v>7.65</c:v>
                </c:pt>
                <c:pt idx="209">
                  <c:v>7.87</c:v>
                </c:pt>
                <c:pt idx="210">
                  <c:v>7.74</c:v>
                </c:pt>
                <c:pt idx="211">
                  <c:v>7.65</c:v>
                </c:pt>
                <c:pt idx="212">
                  <c:v>7.81</c:v>
                </c:pt>
                <c:pt idx="213">
                  <c:v>7.67</c:v>
                </c:pt>
                <c:pt idx="214">
                  <c:v>7.79</c:v>
                </c:pt>
                <c:pt idx="215">
                  <c:v>7.86</c:v>
                </c:pt>
                <c:pt idx="216">
                  <c:v>7.9</c:v>
                </c:pt>
                <c:pt idx="217">
                  <c:v>7.94</c:v>
                </c:pt>
                <c:pt idx="218">
                  <c:v>8.17</c:v>
                </c:pt>
                <c:pt idx="219">
                  <c:v>8.64</c:v>
                </c:pt>
                <c:pt idx="220">
                  <c:v>8.2899999999999991</c:v>
                </c:pt>
                <c:pt idx="221">
                  <c:v>8.4</c:v>
                </c:pt>
                <c:pt idx="222">
                  <c:v>8.35</c:v>
                </c:pt>
                <c:pt idx="223">
                  <c:v>8.16</c:v>
                </c:pt>
                <c:pt idx="224">
                  <c:v>8.18</c:v>
                </c:pt>
                <c:pt idx="225">
                  <c:v>7.71</c:v>
                </c:pt>
                <c:pt idx="226">
                  <c:v>7.61</c:v>
                </c:pt>
                <c:pt idx="227">
                  <c:v>7.65</c:v>
                </c:pt>
                <c:pt idx="228">
                  <c:v>7.42</c:v>
                </c:pt>
                <c:pt idx="229">
                  <c:v>7.28</c:v>
                </c:pt>
                <c:pt idx="230">
                  <c:v>7.49</c:v>
                </c:pt>
                <c:pt idx="231">
                  <c:v>7.51</c:v>
                </c:pt>
                <c:pt idx="232">
                  <c:v>7.77</c:v>
                </c:pt>
                <c:pt idx="233">
                  <c:v>7.58</c:v>
                </c:pt>
                <c:pt idx="234">
                  <c:v>7.6</c:v>
                </c:pt>
                <c:pt idx="235">
                  <c:v>7.88</c:v>
                </c:pt>
                <c:pt idx="236">
                  <c:v>7.85</c:v>
                </c:pt>
                <c:pt idx="237">
                  <c:v>7.85</c:v>
                </c:pt>
                <c:pt idx="238">
                  <c:v>7.84</c:v>
                </c:pt>
                <c:pt idx="239">
                  <c:v>7.76</c:v>
                </c:pt>
                <c:pt idx="240">
                  <c:v>7.58</c:v>
                </c:pt>
                <c:pt idx="241">
                  <c:v>7.4</c:v>
                </c:pt>
                <c:pt idx="242">
                  <c:v>7.46</c:v>
                </c:pt>
                <c:pt idx="243">
                  <c:v>7.78</c:v>
                </c:pt>
                <c:pt idx="244">
                  <c:v>7.59</c:v>
                </c:pt>
                <c:pt idx="245">
                  <c:v>7.43</c:v>
                </c:pt>
                <c:pt idx="246">
                  <c:v>7.38</c:v>
                </c:pt>
                <c:pt idx="247">
                  <c:v>7.36</c:v>
                </c:pt>
                <c:pt idx="248">
                  <c:v>7.27</c:v>
                </c:pt>
                <c:pt idx="249">
                  <c:v>7.35</c:v>
                </c:pt>
                <c:pt idx="250">
                  <c:v>7.44</c:v>
                </c:pt>
                <c:pt idx="251">
                  <c:v>7.61</c:v>
                </c:pt>
                <c:pt idx="252">
                  <c:v>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80-4A8A-992C-F679AB61F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</c:hiLowLines>
        <c:upDownBars>
          <c:gapWidth val="0"/>
          <c:upBars>
            <c:spPr>
              <a:solidFill>
                <a:srgbClr val="C0000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00B050"/>
              </a:solidFill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>
                <a:outerShdw blurRad="50800" dist="50800" dir="1200000" algn="ctr" rotWithShape="0">
                  <a:srgbClr val="000000">
                    <a:alpha val="43137"/>
                  </a:srgbClr>
                </a:outerShdw>
                <a:softEdge rad="0"/>
              </a:effectLst>
            </c:spPr>
          </c:downBars>
        </c:upDownBars>
        <c:axId val="388465160"/>
        <c:axId val="388465552"/>
      </c:stockChart>
      <c:dateAx>
        <c:axId val="388465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Date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465552"/>
        <c:crosses val="autoZero"/>
        <c:auto val="0"/>
        <c:lblOffset val="100"/>
        <c:baseTimeUnit val="days"/>
        <c:majorUnit val="15"/>
      </c:dateAx>
      <c:valAx>
        <c:axId val="388465552"/>
        <c:scaling>
          <c:orientation val="minMax"/>
          <c:max val="10"/>
          <c:min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 Share</a:t>
                </a:r>
                <a:r>
                  <a:rPr lang="en-US" sz="1800" baseline="0"/>
                  <a:t> Price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46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046345704720796"/>
          <c:y val="0.56279028562788658"/>
          <c:w val="8.1094794640059364E-2"/>
          <c:h val="0.17065482900117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 </a:t>
            </a:r>
            <a:r>
              <a:rPr lang="en-US" sz="2000" b="1" i="0" u="none" strike="noStrike" baseline="0">
                <a:effectLst/>
              </a:rPr>
              <a:t>Capital vs Issued shares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6107557439135"/>
          <c:y val="9.4028008386084466E-2"/>
          <c:w val="0.75328041456052885"/>
          <c:h val="0.83007108676669861"/>
        </c:manualLayout>
      </c:layout>
      <c:lineChart>
        <c:grouping val="standard"/>
        <c:varyColors val="0"/>
        <c:ser>
          <c:idx val="0"/>
          <c:order val="0"/>
          <c:tx>
            <c:strRef>
              <c:f>'Capital Vs Share Price'!$B$1</c:f>
              <c:strCache>
                <c:ptCount val="1"/>
                <c:pt idx="0">
                  <c:v>Market Capitalisation($m)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64"/>
              <c:layout>
                <c:manualLayout>
                  <c:x val="4.9122810787463798E-2"/>
                  <c:y val="5.925436065234567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Capitalization</a:t>
                    </a:r>
                    <a:r>
                      <a:rPr lang="en-US" b="1" baseline="0"/>
                      <a:t> peak at </a:t>
                    </a:r>
                    <a:fld id="{4577FC61-B011-4E68-979F-A43FDE1A6C01}" type="VALUE">
                      <a:rPr lang="en-US" b="1"/>
                      <a:pPr>
                        <a:defRPr/>
                      </a:pPr>
                      <a:t>[VALUE]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11888107004351"/>
                      <c:h val="7.085633947488884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E33-4997-8920-7B89E2924F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'Capital Vs Share Price'!$B$2:$B$254</c:f>
              <c:numCache>
                <c:formatCode>#,##0.00##</c:formatCode>
                <c:ptCount val="253"/>
                <c:pt idx="0">
                  <c:v>379.77</c:v>
                </c:pt>
                <c:pt idx="1">
                  <c:v>380.54</c:v>
                </c:pt>
                <c:pt idx="2">
                  <c:v>369.03</c:v>
                </c:pt>
                <c:pt idx="3">
                  <c:v>371.33</c:v>
                </c:pt>
                <c:pt idx="4">
                  <c:v>369.79</c:v>
                </c:pt>
                <c:pt idx="5">
                  <c:v>369.03</c:v>
                </c:pt>
                <c:pt idx="6">
                  <c:v>376.7</c:v>
                </c:pt>
                <c:pt idx="7">
                  <c:v>376.7</c:v>
                </c:pt>
                <c:pt idx="8">
                  <c:v>383.6</c:v>
                </c:pt>
                <c:pt idx="9">
                  <c:v>389.74</c:v>
                </c:pt>
                <c:pt idx="10">
                  <c:v>379.77</c:v>
                </c:pt>
                <c:pt idx="11">
                  <c:v>398.18</c:v>
                </c:pt>
                <c:pt idx="12">
                  <c:v>412.76</c:v>
                </c:pt>
                <c:pt idx="13">
                  <c:v>418.9</c:v>
                </c:pt>
                <c:pt idx="14">
                  <c:v>441.14</c:v>
                </c:pt>
                <c:pt idx="15">
                  <c:v>442.68</c:v>
                </c:pt>
                <c:pt idx="16">
                  <c:v>451.12</c:v>
                </c:pt>
                <c:pt idx="17">
                  <c:v>452.65</c:v>
                </c:pt>
                <c:pt idx="18">
                  <c:v>441.14</c:v>
                </c:pt>
                <c:pt idx="19">
                  <c:v>433.47</c:v>
                </c:pt>
                <c:pt idx="20">
                  <c:v>444.98</c:v>
                </c:pt>
                <c:pt idx="21">
                  <c:v>441.14</c:v>
                </c:pt>
                <c:pt idx="22">
                  <c:v>446.52</c:v>
                </c:pt>
                <c:pt idx="23">
                  <c:v>462.63</c:v>
                </c:pt>
                <c:pt idx="24">
                  <c:v>459.56</c:v>
                </c:pt>
                <c:pt idx="25">
                  <c:v>433.47</c:v>
                </c:pt>
                <c:pt idx="26">
                  <c:v>448.82</c:v>
                </c:pt>
                <c:pt idx="27">
                  <c:v>455.72</c:v>
                </c:pt>
                <c:pt idx="28">
                  <c:v>446.52</c:v>
                </c:pt>
                <c:pt idx="29">
                  <c:v>451.89</c:v>
                </c:pt>
                <c:pt idx="30">
                  <c:v>461.09</c:v>
                </c:pt>
                <c:pt idx="31">
                  <c:v>471.83</c:v>
                </c:pt>
                <c:pt idx="32">
                  <c:v>467.23</c:v>
                </c:pt>
                <c:pt idx="33">
                  <c:v>468</c:v>
                </c:pt>
                <c:pt idx="34">
                  <c:v>468</c:v>
                </c:pt>
                <c:pt idx="35">
                  <c:v>465.7</c:v>
                </c:pt>
                <c:pt idx="36">
                  <c:v>492.55</c:v>
                </c:pt>
                <c:pt idx="37">
                  <c:v>486.41</c:v>
                </c:pt>
                <c:pt idx="38">
                  <c:v>540.88</c:v>
                </c:pt>
                <c:pt idx="39">
                  <c:v>527.84</c:v>
                </c:pt>
                <c:pt idx="40">
                  <c:v>537.04999999999995</c:v>
                </c:pt>
                <c:pt idx="41">
                  <c:v>537.04999999999995</c:v>
                </c:pt>
                <c:pt idx="42">
                  <c:v>536.28</c:v>
                </c:pt>
                <c:pt idx="43">
                  <c:v>527.84</c:v>
                </c:pt>
                <c:pt idx="44">
                  <c:v>532.44000000000005</c:v>
                </c:pt>
                <c:pt idx="45">
                  <c:v>537.04999999999995</c:v>
                </c:pt>
                <c:pt idx="46">
                  <c:v>535.51</c:v>
                </c:pt>
                <c:pt idx="47">
                  <c:v>523.24</c:v>
                </c:pt>
                <c:pt idx="48">
                  <c:v>520.16999999999996</c:v>
                </c:pt>
                <c:pt idx="49">
                  <c:v>525.54</c:v>
                </c:pt>
                <c:pt idx="50">
                  <c:v>515.55999999999995</c:v>
                </c:pt>
                <c:pt idx="51">
                  <c:v>510.19</c:v>
                </c:pt>
                <c:pt idx="52">
                  <c:v>510.96</c:v>
                </c:pt>
                <c:pt idx="53">
                  <c:v>514.03</c:v>
                </c:pt>
                <c:pt idx="54">
                  <c:v>511.73</c:v>
                </c:pt>
                <c:pt idx="55">
                  <c:v>514.03</c:v>
                </c:pt>
                <c:pt idx="56">
                  <c:v>514.03</c:v>
                </c:pt>
                <c:pt idx="57">
                  <c:v>517.87</c:v>
                </c:pt>
                <c:pt idx="58">
                  <c:v>518.63</c:v>
                </c:pt>
                <c:pt idx="59">
                  <c:v>530.14</c:v>
                </c:pt>
                <c:pt idx="60">
                  <c:v>540.11</c:v>
                </c:pt>
                <c:pt idx="61">
                  <c:v>543.17999999999995</c:v>
                </c:pt>
                <c:pt idx="62">
                  <c:v>543.95000000000005</c:v>
                </c:pt>
                <c:pt idx="63">
                  <c:v>560.05999999999995</c:v>
                </c:pt>
                <c:pt idx="64">
                  <c:v>560.83000000000004</c:v>
                </c:pt>
                <c:pt idx="65">
                  <c:v>575.41</c:v>
                </c:pt>
                <c:pt idx="66">
                  <c:v>586.15</c:v>
                </c:pt>
                <c:pt idx="67">
                  <c:v>590.75</c:v>
                </c:pt>
                <c:pt idx="68">
                  <c:v>594.59</c:v>
                </c:pt>
                <c:pt idx="69">
                  <c:v>583.08000000000004</c:v>
                </c:pt>
                <c:pt idx="70">
                  <c:v>590.75</c:v>
                </c:pt>
                <c:pt idx="71">
                  <c:v>586.91</c:v>
                </c:pt>
                <c:pt idx="72">
                  <c:v>594.59</c:v>
                </c:pt>
                <c:pt idx="73">
                  <c:v>590.75</c:v>
                </c:pt>
                <c:pt idx="74">
                  <c:v>591.52</c:v>
                </c:pt>
                <c:pt idx="75">
                  <c:v>584.61</c:v>
                </c:pt>
                <c:pt idx="76">
                  <c:v>616.07000000000005</c:v>
                </c:pt>
                <c:pt idx="77">
                  <c:v>622.97</c:v>
                </c:pt>
                <c:pt idx="78">
                  <c:v>620.66999999999996</c:v>
                </c:pt>
                <c:pt idx="79">
                  <c:v>626.04</c:v>
                </c:pt>
                <c:pt idx="80">
                  <c:v>632.95000000000005</c:v>
                </c:pt>
                <c:pt idx="81">
                  <c:v>632.95000000000005</c:v>
                </c:pt>
                <c:pt idx="82">
                  <c:v>629.88</c:v>
                </c:pt>
                <c:pt idx="83">
                  <c:v>610.70000000000005</c:v>
                </c:pt>
                <c:pt idx="84">
                  <c:v>612.23</c:v>
                </c:pt>
                <c:pt idx="85">
                  <c:v>628.34</c:v>
                </c:pt>
                <c:pt idx="86">
                  <c:v>639.08000000000004</c:v>
                </c:pt>
                <c:pt idx="87">
                  <c:v>613</c:v>
                </c:pt>
                <c:pt idx="88">
                  <c:v>604.55999999999995</c:v>
                </c:pt>
                <c:pt idx="89">
                  <c:v>598.41999999999996</c:v>
                </c:pt>
                <c:pt idx="90">
                  <c:v>586.91</c:v>
                </c:pt>
                <c:pt idx="91">
                  <c:v>586.15</c:v>
                </c:pt>
                <c:pt idx="92">
                  <c:v>589.22</c:v>
                </c:pt>
                <c:pt idx="93">
                  <c:v>583.85</c:v>
                </c:pt>
                <c:pt idx="94">
                  <c:v>593.04999999999995</c:v>
                </c:pt>
                <c:pt idx="95">
                  <c:v>593.04999999999995</c:v>
                </c:pt>
                <c:pt idx="96">
                  <c:v>600.72</c:v>
                </c:pt>
                <c:pt idx="97">
                  <c:v>596.89</c:v>
                </c:pt>
                <c:pt idx="98">
                  <c:v>594.59</c:v>
                </c:pt>
                <c:pt idx="99">
                  <c:v>607.63</c:v>
                </c:pt>
                <c:pt idx="100">
                  <c:v>606.86</c:v>
                </c:pt>
                <c:pt idx="101">
                  <c:v>614.53</c:v>
                </c:pt>
                <c:pt idx="102">
                  <c:v>596.12</c:v>
                </c:pt>
                <c:pt idx="103">
                  <c:v>572.34</c:v>
                </c:pt>
                <c:pt idx="104">
                  <c:v>570.79999999999995</c:v>
                </c:pt>
                <c:pt idx="105">
                  <c:v>572.34</c:v>
                </c:pt>
                <c:pt idx="106">
                  <c:v>587.67999999999995</c:v>
                </c:pt>
                <c:pt idx="107">
                  <c:v>587.67999999999995</c:v>
                </c:pt>
                <c:pt idx="108">
                  <c:v>579.24</c:v>
                </c:pt>
                <c:pt idx="109">
                  <c:v>598.41999999999996</c:v>
                </c:pt>
                <c:pt idx="110">
                  <c:v>587.67999999999995</c:v>
                </c:pt>
                <c:pt idx="111">
                  <c:v>606.09</c:v>
                </c:pt>
                <c:pt idx="112">
                  <c:v>619.9</c:v>
                </c:pt>
                <c:pt idx="113">
                  <c:v>624.51</c:v>
                </c:pt>
                <c:pt idx="114">
                  <c:v>618.37</c:v>
                </c:pt>
                <c:pt idx="115">
                  <c:v>613.77</c:v>
                </c:pt>
                <c:pt idx="116">
                  <c:v>599.96</c:v>
                </c:pt>
                <c:pt idx="117">
                  <c:v>593.82000000000005</c:v>
                </c:pt>
                <c:pt idx="118">
                  <c:v>597.66</c:v>
                </c:pt>
                <c:pt idx="119">
                  <c:v>593.04999999999995</c:v>
                </c:pt>
                <c:pt idx="120">
                  <c:v>596.89</c:v>
                </c:pt>
                <c:pt idx="121">
                  <c:v>615.29999999999995</c:v>
                </c:pt>
                <c:pt idx="122">
                  <c:v>616.84</c:v>
                </c:pt>
                <c:pt idx="123">
                  <c:v>609.16</c:v>
                </c:pt>
                <c:pt idx="124">
                  <c:v>611.46</c:v>
                </c:pt>
                <c:pt idx="125">
                  <c:v>615.29999999999995</c:v>
                </c:pt>
                <c:pt idx="126">
                  <c:v>624.51</c:v>
                </c:pt>
                <c:pt idx="127">
                  <c:v>643.69000000000005</c:v>
                </c:pt>
                <c:pt idx="128">
                  <c:v>637.54999999999995</c:v>
                </c:pt>
                <c:pt idx="129">
                  <c:v>658.26</c:v>
                </c:pt>
                <c:pt idx="130">
                  <c:v>621.44000000000005</c:v>
                </c:pt>
                <c:pt idx="131">
                  <c:v>627.58000000000004</c:v>
                </c:pt>
                <c:pt idx="132">
                  <c:v>632.95000000000005</c:v>
                </c:pt>
                <c:pt idx="133">
                  <c:v>647.52</c:v>
                </c:pt>
                <c:pt idx="134">
                  <c:v>642.91999999999996</c:v>
                </c:pt>
                <c:pt idx="135">
                  <c:v>646.76</c:v>
                </c:pt>
                <c:pt idx="136">
                  <c:v>644.45000000000005</c:v>
                </c:pt>
                <c:pt idx="137">
                  <c:v>622.21</c:v>
                </c:pt>
                <c:pt idx="138">
                  <c:v>616.07000000000005</c:v>
                </c:pt>
                <c:pt idx="139">
                  <c:v>598.41999999999996</c:v>
                </c:pt>
                <c:pt idx="140">
                  <c:v>595.35</c:v>
                </c:pt>
                <c:pt idx="141">
                  <c:v>592.28</c:v>
                </c:pt>
                <c:pt idx="142">
                  <c:v>606.86</c:v>
                </c:pt>
                <c:pt idx="143">
                  <c:v>621.44000000000005</c:v>
                </c:pt>
                <c:pt idx="144">
                  <c:v>634.48</c:v>
                </c:pt>
                <c:pt idx="145">
                  <c:v>621.44000000000005</c:v>
                </c:pt>
                <c:pt idx="146">
                  <c:v>644.45000000000005</c:v>
                </c:pt>
                <c:pt idx="147">
                  <c:v>643.69000000000005</c:v>
                </c:pt>
                <c:pt idx="148">
                  <c:v>648.29</c:v>
                </c:pt>
                <c:pt idx="149">
                  <c:v>644.45000000000005</c:v>
                </c:pt>
                <c:pt idx="150">
                  <c:v>653.66</c:v>
                </c:pt>
                <c:pt idx="151">
                  <c:v>626.80999999999995</c:v>
                </c:pt>
                <c:pt idx="152">
                  <c:v>622.21</c:v>
                </c:pt>
                <c:pt idx="153">
                  <c:v>620.66999999999996</c:v>
                </c:pt>
                <c:pt idx="154">
                  <c:v>636.78</c:v>
                </c:pt>
                <c:pt idx="155">
                  <c:v>649.83000000000004</c:v>
                </c:pt>
                <c:pt idx="156">
                  <c:v>628.34</c:v>
                </c:pt>
                <c:pt idx="157">
                  <c:v>628.34</c:v>
                </c:pt>
                <c:pt idx="158">
                  <c:v>626.04</c:v>
                </c:pt>
                <c:pt idx="159">
                  <c:v>626.04</c:v>
                </c:pt>
                <c:pt idx="160">
                  <c:v>636.78</c:v>
                </c:pt>
                <c:pt idx="161">
                  <c:v>644.45000000000005</c:v>
                </c:pt>
                <c:pt idx="162">
                  <c:v>646.76</c:v>
                </c:pt>
                <c:pt idx="163">
                  <c:v>650.59</c:v>
                </c:pt>
                <c:pt idx="164">
                  <c:v>713.5</c:v>
                </c:pt>
                <c:pt idx="165">
                  <c:v>703.53</c:v>
                </c:pt>
                <c:pt idx="166">
                  <c:v>678.98</c:v>
                </c:pt>
                <c:pt idx="167">
                  <c:v>666.7</c:v>
                </c:pt>
                <c:pt idx="168">
                  <c:v>679.75</c:v>
                </c:pt>
                <c:pt idx="169">
                  <c:v>685.88</c:v>
                </c:pt>
                <c:pt idx="170">
                  <c:v>667.47</c:v>
                </c:pt>
                <c:pt idx="171">
                  <c:v>648.29</c:v>
                </c:pt>
                <c:pt idx="172">
                  <c:v>641.39</c:v>
                </c:pt>
                <c:pt idx="173">
                  <c:v>644.45000000000005</c:v>
                </c:pt>
                <c:pt idx="174">
                  <c:v>624.51</c:v>
                </c:pt>
                <c:pt idx="175">
                  <c:v>608.4</c:v>
                </c:pt>
                <c:pt idx="176">
                  <c:v>615.29999999999995</c:v>
                </c:pt>
                <c:pt idx="177">
                  <c:v>579.24</c:v>
                </c:pt>
                <c:pt idx="178">
                  <c:v>569.27</c:v>
                </c:pt>
                <c:pt idx="179">
                  <c:v>567.73</c:v>
                </c:pt>
                <c:pt idx="180">
                  <c:v>567.73</c:v>
                </c:pt>
                <c:pt idx="181">
                  <c:v>586.91</c:v>
                </c:pt>
                <c:pt idx="182">
                  <c:v>606.09</c:v>
                </c:pt>
                <c:pt idx="183">
                  <c:v>574.64</c:v>
                </c:pt>
                <c:pt idx="184">
                  <c:v>575.41</c:v>
                </c:pt>
                <c:pt idx="185">
                  <c:v>577.71</c:v>
                </c:pt>
                <c:pt idx="186">
                  <c:v>582.30999999999995</c:v>
                </c:pt>
                <c:pt idx="187">
                  <c:v>609.92999999999995</c:v>
                </c:pt>
                <c:pt idx="188">
                  <c:v>616.84</c:v>
                </c:pt>
                <c:pt idx="189">
                  <c:v>613.77</c:v>
                </c:pt>
                <c:pt idx="190">
                  <c:v>622.97</c:v>
                </c:pt>
                <c:pt idx="191">
                  <c:v>592.28</c:v>
                </c:pt>
                <c:pt idx="192">
                  <c:v>572.34</c:v>
                </c:pt>
                <c:pt idx="193">
                  <c:v>567.73</c:v>
                </c:pt>
                <c:pt idx="194">
                  <c:v>577.71</c:v>
                </c:pt>
                <c:pt idx="195">
                  <c:v>552.39</c:v>
                </c:pt>
                <c:pt idx="196">
                  <c:v>533.21</c:v>
                </c:pt>
                <c:pt idx="197">
                  <c:v>530.14</c:v>
                </c:pt>
                <c:pt idx="198">
                  <c:v>526.29999999999995</c:v>
                </c:pt>
                <c:pt idx="199">
                  <c:v>571.57000000000005</c:v>
                </c:pt>
                <c:pt idx="200">
                  <c:v>552.39</c:v>
                </c:pt>
                <c:pt idx="201">
                  <c:v>563.13</c:v>
                </c:pt>
                <c:pt idx="202">
                  <c:v>572.34</c:v>
                </c:pt>
                <c:pt idx="203">
                  <c:v>575.41</c:v>
                </c:pt>
                <c:pt idx="204">
                  <c:v>571.57000000000005</c:v>
                </c:pt>
                <c:pt idx="205">
                  <c:v>563.13</c:v>
                </c:pt>
                <c:pt idx="206">
                  <c:v>595.35</c:v>
                </c:pt>
                <c:pt idx="207">
                  <c:v>586.91</c:v>
                </c:pt>
                <c:pt idx="208">
                  <c:v>586.91</c:v>
                </c:pt>
                <c:pt idx="209">
                  <c:v>603.79</c:v>
                </c:pt>
                <c:pt idx="210">
                  <c:v>593.82000000000005</c:v>
                </c:pt>
                <c:pt idx="211">
                  <c:v>586.91</c:v>
                </c:pt>
                <c:pt idx="212">
                  <c:v>599.19000000000005</c:v>
                </c:pt>
                <c:pt idx="213">
                  <c:v>588.45000000000005</c:v>
                </c:pt>
                <c:pt idx="214">
                  <c:v>597.66</c:v>
                </c:pt>
                <c:pt idx="215">
                  <c:v>603.03</c:v>
                </c:pt>
                <c:pt idx="216">
                  <c:v>606.09</c:v>
                </c:pt>
                <c:pt idx="217">
                  <c:v>609.16</c:v>
                </c:pt>
                <c:pt idx="218">
                  <c:v>626.80999999999995</c:v>
                </c:pt>
                <c:pt idx="219">
                  <c:v>662.87</c:v>
                </c:pt>
                <c:pt idx="220">
                  <c:v>636.02</c:v>
                </c:pt>
                <c:pt idx="221">
                  <c:v>644.45000000000005</c:v>
                </c:pt>
                <c:pt idx="222">
                  <c:v>640.62</c:v>
                </c:pt>
                <c:pt idx="223">
                  <c:v>626.04</c:v>
                </c:pt>
                <c:pt idx="224">
                  <c:v>627.58000000000004</c:v>
                </c:pt>
                <c:pt idx="225">
                  <c:v>591.52</c:v>
                </c:pt>
                <c:pt idx="226">
                  <c:v>583.85</c:v>
                </c:pt>
                <c:pt idx="227">
                  <c:v>586.91</c:v>
                </c:pt>
                <c:pt idx="228">
                  <c:v>569.27</c:v>
                </c:pt>
                <c:pt idx="229">
                  <c:v>558.53</c:v>
                </c:pt>
                <c:pt idx="230">
                  <c:v>574.64</c:v>
                </c:pt>
                <c:pt idx="231">
                  <c:v>576.16999999999996</c:v>
                </c:pt>
                <c:pt idx="232">
                  <c:v>596.12</c:v>
                </c:pt>
                <c:pt idx="233">
                  <c:v>581.54</c:v>
                </c:pt>
                <c:pt idx="234">
                  <c:v>583.08000000000004</c:v>
                </c:pt>
                <c:pt idx="235">
                  <c:v>604.55999999999995</c:v>
                </c:pt>
                <c:pt idx="236">
                  <c:v>602.26</c:v>
                </c:pt>
                <c:pt idx="237">
                  <c:v>602.26</c:v>
                </c:pt>
                <c:pt idx="238">
                  <c:v>601.49</c:v>
                </c:pt>
                <c:pt idx="239">
                  <c:v>595.35</c:v>
                </c:pt>
                <c:pt idx="240">
                  <c:v>581.54</c:v>
                </c:pt>
                <c:pt idx="241">
                  <c:v>567.73</c:v>
                </c:pt>
                <c:pt idx="242">
                  <c:v>572.34</c:v>
                </c:pt>
                <c:pt idx="243">
                  <c:v>596.89</c:v>
                </c:pt>
                <c:pt idx="244">
                  <c:v>582.30999999999995</c:v>
                </c:pt>
                <c:pt idx="245">
                  <c:v>570.04</c:v>
                </c:pt>
                <c:pt idx="246">
                  <c:v>566.20000000000005</c:v>
                </c:pt>
                <c:pt idx="247">
                  <c:v>564.66999999999996</c:v>
                </c:pt>
                <c:pt idx="248">
                  <c:v>557.76</c:v>
                </c:pt>
                <c:pt idx="249">
                  <c:v>563.9</c:v>
                </c:pt>
                <c:pt idx="250">
                  <c:v>570.79999999999995</c:v>
                </c:pt>
                <c:pt idx="251">
                  <c:v>583.85</c:v>
                </c:pt>
                <c:pt idx="252">
                  <c:v>596.89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9-4ECB-927D-84F6DA6B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439784"/>
        <c:axId val="508440144"/>
      </c:lineChart>
      <c:lineChart>
        <c:grouping val="standard"/>
        <c:varyColors val="0"/>
        <c:ser>
          <c:idx val="1"/>
          <c:order val="1"/>
          <c:tx>
            <c:strRef>
              <c:f>'Capital Vs Share Price'!$C$1</c:f>
              <c:strCache>
                <c:ptCount val="1"/>
                <c:pt idx="0">
                  <c:v>Shares on Issue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0"/>
              <c:layout>
                <c:manualLayout>
                  <c:x val="-0.20925108664879177"/>
                  <c:y val="-0.1228486315812962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>
                        <a:solidFill>
                          <a:srgbClr val="FFC000"/>
                        </a:solidFill>
                      </a:rPr>
                      <a:t>Share on Issue Remained Constant</a:t>
                    </a:r>
                    <a:r>
                      <a:rPr lang="en-US" sz="1000" b="1" baseline="0">
                        <a:solidFill>
                          <a:srgbClr val="FFC000"/>
                        </a:solidFill>
                      </a:rPr>
                      <a:t> at </a:t>
                    </a:r>
                    <a:fld id="{FBB4A6EB-D350-4C89-AC4B-D1E40284ABC6}" type="VALUE">
                      <a:rPr lang="en-US" sz="1000" b="1">
                        <a:solidFill>
                          <a:srgbClr val="FFC000"/>
                        </a:solidFill>
                      </a:rPr>
                      <a:pPr>
                        <a:defRPr sz="1000"/>
                      </a:pPr>
                      <a:t>[VALUE]</a:t>
                    </a:fld>
                    <a:endParaRPr lang="en-US" sz="1000" b="1" baseline="0">
                      <a:solidFill>
                        <a:srgbClr val="FFC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57845584167588"/>
                      <c:h val="7.903677804945707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E33-4997-8920-7B89E2924F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'Capital Vs Share Price'!$C$2:$C$254</c:f>
              <c:numCache>
                <c:formatCode>#,##0.00##</c:formatCode>
                <c:ptCount val="253"/>
                <c:pt idx="0">
                  <c:v>76720810</c:v>
                </c:pt>
                <c:pt idx="1">
                  <c:v>76720810</c:v>
                </c:pt>
                <c:pt idx="2">
                  <c:v>76720810</c:v>
                </c:pt>
                <c:pt idx="3">
                  <c:v>76720810</c:v>
                </c:pt>
                <c:pt idx="4">
                  <c:v>76720810</c:v>
                </c:pt>
                <c:pt idx="5">
                  <c:v>76720810</c:v>
                </c:pt>
                <c:pt idx="6">
                  <c:v>76720810</c:v>
                </c:pt>
                <c:pt idx="7">
                  <c:v>76720810</c:v>
                </c:pt>
                <c:pt idx="8">
                  <c:v>76720810</c:v>
                </c:pt>
                <c:pt idx="9">
                  <c:v>76720810</c:v>
                </c:pt>
                <c:pt idx="10">
                  <c:v>76720810</c:v>
                </c:pt>
                <c:pt idx="11">
                  <c:v>76720810</c:v>
                </c:pt>
                <c:pt idx="12">
                  <c:v>76720810</c:v>
                </c:pt>
                <c:pt idx="13">
                  <c:v>76720810</c:v>
                </c:pt>
                <c:pt idx="14">
                  <c:v>76720810</c:v>
                </c:pt>
                <c:pt idx="15">
                  <c:v>76720810</c:v>
                </c:pt>
                <c:pt idx="16">
                  <c:v>76720810</c:v>
                </c:pt>
                <c:pt idx="17">
                  <c:v>76720810</c:v>
                </c:pt>
                <c:pt idx="18">
                  <c:v>76720810</c:v>
                </c:pt>
                <c:pt idx="19">
                  <c:v>76720810</c:v>
                </c:pt>
                <c:pt idx="20">
                  <c:v>76720810</c:v>
                </c:pt>
                <c:pt idx="21">
                  <c:v>76720810</c:v>
                </c:pt>
                <c:pt idx="22">
                  <c:v>76720810</c:v>
                </c:pt>
                <c:pt idx="23">
                  <c:v>76720810</c:v>
                </c:pt>
                <c:pt idx="24">
                  <c:v>76720810</c:v>
                </c:pt>
                <c:pt idx="25">
                  <c:v>76720810</c:v>
                </c:pt>
                <c:pt idx="26">
                  <c:v>76720810</c:v>
                </c:pt>
                <c:pt idx="27">
                  <c:v>76720810</c:v>
                </c:pt>
                <c:pt idx="28">
                  <c:v>76720810</c:v>
                </c:pt>
                <c:pt idx="29">
                  <c:v>76720810</c:v>
                </c:pt>
                <c:pt idx="30">
                  <c:v>76720810</c:v>
                </c:pt>
                <c:pt idx="31">
                  <c:v>76720810</c:v>
                </c:pt>
                <c:pt idx="32">
                  <c:v>76720810</c:v>
                </c:pt>
                <c:pt idx="33">
                  <c:v>76720810</c:v>
                </c:pt>
                <c:pt idx="34">
                  <c:v>76720810</c:v>
                </c:pt>
                <c:pt idx="35">
                  <c:v>76720810</c:v>
                </c:pt>
                <c:pt idx="36">
                  <c:v>76720810</c:v>
                </c:pt>
                <c:pt idx="37">
                  <c:v>76720810</c:v>
                </c:pt>
                <c:pt idx="38">
                  <c:v>76720810</c:v>
                </c:pt>
                <c:pt idx="39">
                  <c:v>76720810</c:v>
                </c:pt>
                <c:pt idx="40">
                  <c:v>76720810</c:v>
                </c:pt>
                <c:pt idx="41">
                  <c:v>76720810</c:v>
                </c:pt>
                <c:pt idx="42">
                  <c:v>76720810</c:v>
                </c:pt>
                <c:pt idx="43">
                  <c:v>76720810</c:v>
                </c:pt>
                <c:pt idx="44">
                  <c:v>76720810</c:v>
                </c:pt>
                <c:pt idx="45">
                  <c:v>76720810</c:v>
                </c:pt>
                <c:pt idx="46">
                  <c:v>76720810</c:v>
                </c:pt>
                <c:pt idx="47">
                  <c:v>76720810</c:v>
                </c:pt>
                <c:pt idx="48">
                  <c:v>76720810</c:v>
                </c:pt>
                <c:pt idx="49">
                  <c:v>76720810</c:v>
                </c:pt>
                <c:pt idx="50">
                  <c:v>76720810</c:v>
                </c:pt>
                <c:pt idx="51">
                  <c:v>76720810</c:v>
                </c:pt>
                <c:pt idx="52">
                  <c:v>76720810</c:v>
                </c:pt>
                <c:pt idx="53">
                  <c:v>76720810</c:v>
                </c:pt>
                <c:pt idx="54">
                  <c:v>76720810</c:v>
                </c:pt>
                <c:pt idx="55">
                  <c:v>76720810</c:v>
                </c:pt>
                <c:pt idx="56">
                  <c:v>76720810</c:v>
                </c:pt>
                <c:pt idx="57">
                  <c:v>76720810</c:v>
                </c:pt>
                <c:pt idx="58">
                  <c:v>76720810</c:v>
                </c:pt>
                <c:pt idx="59">
                  <c:v>76720810</c:v>
                </c:pt>
                <c:pt idx="60">
                  <c:v>76720810</c:v>
                </c:pt>
                <c:pt idx="61">
                  <c:v>76720810</c:v>
                </c:pt>
                <c:pt idx="62">
                  <c:v>76720810</c:v>
                </c:pt>
                <c:pt idx="63">
                  <c:v>76720810</c:v>
                </c:pt>
                <c:pt idx="64">
                  <c:v>76720810</c:v>
                </c:pt>
                <c:pt idx="65">
                  <c:v>76720810</c:v>
                </c:pt>
                <c:pt idx="66">
                  <c:v>76720810</c:v>
                </c:pt>
                <c:pt idx="67">
                  <c:v>76720810</c:v>
                </c:pt>
                <c:pt idx="68">
                  <c:v>76720810</c:v>
                </c:pt>
                <c:pt idx="69">
                  <c:v>76720810</c:v>
                </c:pt>
                <c:pt idx="70">
                  <c:v>76720810</c:v>
                </c:pt>
                <c:pt idx="71">
                  <c:v>76720810</c:v>
                </c:pt>
                <c:pt idx="72">
                  <c:v>76720810</c:v>
                </c:pt>
                <c:pt idx="73">
                  <c:v>76720810</c:v>
                </c:pt>
                <c:pt idx="74">
                  <c:v>76720810</c:v>
                </c:pt>
                <c:pt idx="75">
                  <c:v>76720810</c:v>
                </c:pt>
                <c:pt idx="76">
                  <c:v>76720810</c:v>
                </c:pt>
                <c:pt idx="77">
                  <c:v>76720810</c:v>
                </c:pt>
                <c:pt idx="78">
                  <c:v>76720810</c:v>
                </c:pt>
                <c:pt idx="79">
                  <c:v>76720810</c:v>
                </c:pt>
                <c:pt idx="80">
                  <c:v>76720810</c:v>
                </c:pt>
                <c:pt idx="81">
                  <c:v>76720810</c:v>
                </c:pt>
                <c:pt idx="82">
                  <c:v>76720810</c:v>
                </c:pt>
                <c:pt idx="83">
                  <c:v>76720810</c:v>
                </c:pt>
                <c:pt idx="84">
                  <c:v>76720810</c:v>
                </c:pt>
                <c:pt idx="85">
                  <c:v>76720810</c:v>
                </c:pt>
                <c:pt idx="86">
                  <c:v>76720810</c:v>
                </c:pt>
                <c:pt idx="87">
                  <c:v>76720810</c:v>
                </c:pt>
                <c:pt idx="88">
                  <c:v>76720810</c:v>
                </c:pt>
                <c:pt idx="89">
                  <c:v>76720810</c:v>
                </c:pt>
                <c:pt idx="90">
                  <c:v>76720810</c:v>
                </c:pt>
                <c:pt idx="91">
                  <c:v>76720810</c:v>
                </c:pt>
                <c:pt idx="92">
                  <c:v>76720810</c:v>
                </c:pt>
                <c:pt idx="93">
                  <c:v>76720810</c:v>
                </c:pt>
                <c:pt idx="94">
                  <c:v>76720810</c:v>
                </c:pt>
                <c:pt idx="95">
                  <c:v>76720810</c:v>
                </c:pt>
                <c:pt idx="96">
                  <c:v>76720810</c:v>
                </c:pt>
                <c:pt idx="97">
                  <c:v>76720810</c:v>
                </c:pt>
                <c:pt idx="98">
                  <c:v>76720810</c:v>
                </c:pt>
                <c:pt idx="99">
                  <c:v>76720810</c:v>
                </c:pt>
                <c:pt idx="100">
                  <c:v>76720810</c:v>
                </c:pt>
                <c:pt idx="101">
                  <c:v>76720810</c:v>
                </c:pt>
                <c:pt idx="102">
                  <c:v>76720810</c:v>
                </c:pt>
                <c:pt idx="103">
                  <c:v>76720810</c:v>
                </c:pt>
                <c:pt idx="104">
                  <c:v>76720810</c:v>
                </c:pt>
                <c:pt idx="105">
                  <c:v>76720810</c:v>
                </c:pt>
                <c:pt idx="106">
                  <c:v>76720810</c:v>
                </c:pt>
                <c:pt idx="107">
                  <c:v>76720810</c:v>
                </c:pt>
                <c:pt idx="108">
                  <c:v>76720810</c:v>
                </c:pt>
                <c:pt idx="109">
                  <c:v>76720810</c:v>
                </c:pt>
                <c:pt idx="110">
                  <c:v>76720810</c:v>
                </c:pt>
                <c:pt idx="111">
                  <c:v>76720810</c:v>
                </c:pt>
                <c:pt idx="112">
                  <c:v>76720810</c:v>
                </c:pt>
                <c:pt idx="113">
                  <c:v>76720810</c:v>
                </c:pt>
                <c:pt idx="114">
                  <c:v>76720810</c:v>
                </c:pt>
                <c:pt idx="115">
                  <c:v>76720810</c:v>
                </c:pt>
                <c:pt idx="116">
                  <c:v>76720810</c:v>
                </c:pt>
                <c:pt idx="117">
                  <c:v>76720810</c:v>
                </c:pt>
                <c:pt idx="118">
                  <c:v>76720810</c:v>
                </c:pt>
                <c:pt idx="119">
                  <c:v>76720810</c:v>
                </c:pt>
                <c:pt idx="120">
                  <c:v>76720810</c:v>
                </c:pt>
                <c:pt idx="121">
                  <c:v>76720810</c:v>
                </c:pt>
                <c:pt idx="122">
                  <c:v>76720810</c:v>
                </c:pt>
                <c:pt idx="123">
                  <c:v>76720810</c:v>
                </c:pt>
                <c:pt idx="124">
                  <c:v>76720810</c:v>
                </c:pt>
                <c:pt idx="125">
                  <c:v>76720810</c:v>
                </c:pt>
                <c:pt idx="126">
                  <c:v>76720810</c:v>
                </c:pt>
                <c:pt idx="127">
                  <c:v>76720810</c:v>
                </c:pt>
                <c:pt idx="128">
                  <c:v>76720810</c:v>
                </c:pt>
                <c:pt idx="129">
                  <c:v>76720810</c:v>
                </c:pt>
                <c:pt idx="130">
                  <c:v>76720810</c:v>
                </c:pt>
                <c:pt idx="131">
                  <c:v>76720810</c:v>
                </c:pt>
                <c:pt idx="132">
                  <c:v>76720810</c:v>
                </c:pt>
                <c:pt idx="133">
                  <c:v>76720810</c:v>
                </c:pt>
                <c:pt idx="134">
                  <c:v>76720810</c:v>
                </c:pt>
                <c:pt idx="135">
                  <c:v>76720810</c:v>
                </c:pt>
                <c:pt idx="136">
                  <c:v>76720810</c:v>
                </c:pt>
                <c:pt idx="137">
                  <c:v>76720810</c:v>
                </c:pt>
                <c:pt idx="138">
                  <c:v>76720810</c:v>
                </c:pt>
                <c:pt idx="139">
                  <c:v>76720810</c:v>
                </c:pt>
                <c:pt idx="140">
                  <c:v>76720810</c:v>
                </c:pt>
                <c:pt idx="141">
                  <c:v>76720810</c:v>
                </c:pt>
                <c:pt idx="142">
                  <c:v>76720810</c:v>
                </c:pt>
                <c:pt idx="143">
                  <c:v>76720810</c:v>
                </c:pt>
                <c:pt idx="144">
                  <c:v>76720810</c:v>
                </c:pt>
                <c:pt idx="145">
                  <c:v>76720810</c:v>
                </c:pt>
                <c:pt idx="146">
                  <c:v>76720810</c:v>
                </c:pt>
                <c:pt idx="147">
                  <c:v>76720810</c:v>
                </c:pt>
                <c:pt idx="148">
                  <c:v>76720810</c:v>
                </c:pt>
                <c:pt idx="149">
                  <c:v>76720810</c:v>
                </c:pt>
                <c:pt idx="150">
                  <c:v>76720810</c:v>
                </c:pt>
                <c:pt idx="151">
                  <c:v>76720810</c:v>
                </c:pt>
                <c:pt idx="152">
                  <c:v>76720810</c:v>
                </c:pt>
                <c:pt idx="153">
                  <c:v>76720810</c:v>
                </c:pt>
                <c:pt idx="154">
                  <c:v>76720810</c:v>
                </c:pt>
                <c:pt idx="155">
                  <c:v>76720810</c:v>
                </c:pt>
                <c:pt idx="156">
                  <c:v>76720810</c:v>
                </c:pt>
                <c:pt idx="157">
                  <c:v>76720810</c:v>
                </c:pt>
                <c:pt idx="158">
                  <c:v>76720810</c:v>
                </c:pt>
                <c:pt idx="159">
                  <c:v>76720810</c:v>
                </c:pt>
                <c:pt idx="160">
                  <c:v>76720810</c:v>
                </c:pt>
                <c:pt idx="161">
                  <c:v>76720810</c:v>
                </c:pt>
                <c:pt idx="162">
                  <c:v>76720810</c:v>
                </c:pt>
                <c:pt idx="163">
                  <c:v>76720810</c:v>
                </c:pt>
                <c:pt idx="164">
                  <c:v>76720810</c:v>
                </c:pt>
                <c:pt idx="165">
                  <c:v>76720810</c:v>
                </c:pt>
                <c:pt idx="166">
                  <c:v>76720810</c:v>
                </c:pt>
                <c:pt idx="167">
                  <c:v>76720810</c:v>
                </c:pt>
                <c:pt idx="168">
                  <c:v>76720810</c:v>
                </c:pt>
                <c:pt idx="169">
                  <c:v>76720810</c:v>
                </c:pt>
                <c:pt idx="170">
                  <c:v>76720810</c:v>
                </c:pt>
                <c:pt idx="171">
                  <c:v>76720810</c:v>
                </c:pt>
                <c:pt idx="172">
                  <c:v>76720810</c:v>
                </c:pt>
                <c:pt idx="173">
                  <c:v>76720810</c:v>
                </c:pt>
                <c:pt idx="174">
                  <c:v>76720810</c:v>
                </c:pt>
                <c:pt idx="175">
                  <c:v>76720810</c:v>
                </c:pt>
                <c:pt idx="176">
                  <c:v>76720810</c:v>
                </c:pt>
                <c:pt idx="177">
                  <c:v>76720810</c:v>
                </c:pt>
                <c:pt idx="178">
                  <c:v>76720810</c:v>
                </c:pt>
                <c:pt idx="179">
                  <c:v>76720810</c:v>
                </c:pt>
                <c:pt idx="180">
                  <c:v>76720810</c:v>
                </c:pt>
                <c:pt idx="181">
                  <c:v>76720810</c:v>
                </c:pt>
                <c:pt idx="182">
                  <c:v>76720810</c:v>
                </c:pt>
                <c:pt idx="183">
                  <c:v>76720810</c:v>
                </c:pt>
                <c:pt idx="184">
                  <c:v>76720810</c:v>
                </c:pt>
                <c:pt idx="185">
                  <c:v>76720810</c:v>
                </c:pt>
                <c:pt idx="186">
                  <c:v>76720810</c:v>
                </c:pt>
                <c:pt idx="187">
                  <c:v>76720810</c:v>
                </c:pt>
                <c:pt idx="188">
                  <c:v>76720810</c:v>
                </c:pt>
                <c:pt idx="189">
                  <c:v>76720810</c:v>
                </c:pt>
                <c:pt idx="190">
                  <c:v>76720810</c:v>
                </c:pt>
                <c:pt idx="191">
                  <c:v>76720810</c:v>
                </c:pt>
                <c:pt idx="192">
                  <c:v>76720810</c:v>
                </c:pt>
                <c:pt idx="193">
                  <c:v>76720810</c:v>
                </c:pt>
                <c:pt idx="194">
                  <c:v>76720810</c:v>
                </c:pt>
                <c:pt idx="195">
                  <c:v>76720810</c:v>
                </c:pt>
                <c:pt idx="196">
                  <c:v>76720810</c:v>
                </c:pt>
                <c:pt idx="197">
                  <c:v>76720810</c:v>
                </c:pt>
                <c:pt idx="198">
                  <c:v>76720810</c:v>
                </c:pt>
                <c:pt idx="199">
                  <c:v>76720810</c:v>
                </c:pt>
                <c:pt idx="200">
                  <c:v>76720810</c:v>
                </c:pt>
                <c:pt idx="201">
                  <c:v>76720810</c:v>
                </c:pt>
                <c:pt idx="202">
                  <c:v>76720810</c:v>
                </c:pt>
                <c:pt idx="203">
                  <c:v>76720810</c:v>
                </c:pt>
                <c:pt idx="204">
                  <c:v>76720810</c:v>
                </c:pt>
                <c:pt idx="205">
                  <c:v>76720810</c:v>
                </c:pt>
                <c:pt idx="206">
                  <c:v>76720810</c:v>
                </c:pt>
                <c:pt idx="207">
                  <c:v>76720810</c:v>
                </c:pt>
                <c:pt idx="208">
                  <c:v>76720810</c:v>
                </c:pt>
                <c:pt idx="209">
                  <c:v>76720810</c:v>
                </c:pt>
                <c:pt idx="210">
                  <c:v>76720810</c:v>
                </c:pt>
                <c:pt idx="211">
                  <c:v>76720810</c:v>
                </c:pt>
                <c:pt idx="212">
                  <c:v>76720810</c:v>
                </c:pt>
                <c:pt idx="213">
                  <c:v>76720810</c:v>
                </c:pt>
                <c:pt idx="214">
                  <c:v>76720810</c:v>
                </c:pt>
                <c:pt idx="215">
                  <c:v>76720810</c:v>
                </c:pt>
                <c:pt idx="216">
                  <c:v>76720810</c:v>
                </c:pt>
                <c:pt idx="217">
                  <c:v>76720810</c:v>
                </c:pt>
                <c:pt idx="218">
                  <c:v>76720810</c:v>
                </c:pt>
                <c:pt idx="219">
                  <c:v>76720810</c:v>
                </c:pt>
                <c:pt idx="220">
                  <c:v>76720810</c:v>
                </c:pt>
                <c:pt idx="221">
                  <c:v>76720810</c:v>
                </c:pt>
                <c:pt idx="222">
                  <c:v>76720810</c:v>
                </c:pt>
                <c:pt idx="223">
                  <c:v>76720810</c:v>
                </c:pt>
                <c:pt idx="224">
                  <c:v>76720810</c:v>
                </c:pt>
                <c:pt idx="225">
                  <c:v>76720810</c:v>
                </c:pt>
                <c:pt idx="226">
                  <c:v>76720810</c:v>
                </c:pt>
                <c:pt idx="227">
                  <c:v>76720810</c:v>
                </c:pt>
                <c:pt idx="228">
                  <c:v>76720810</c:v>
                </c:pt>
                <c:pt idx="229">
                  <c:v>76720810</c:v>
                </c:pt>
                <c:pt idx="230">
                  <c:v>76720810</c:v>
                </c:pt>
                <c:pt idx="231">
                  <c:v>76720810</c:v>
                </c:pt>
                <c:pt idx="232">
                  <c:v>76720810</c:v>
                </c:pt>
                <c:pt idx="233">
                  <c:v>76720810</c:v>
                </c:pt>
                <c:pt idx="234">
                  <c:v>76720810</c:v>
                </c:pt>
                <c:pt idx="235">
                  <c:v>76720810</c:v>
                </c:pt>
                <c:pt idx="236">
                  <c:v>76720810</c:v>
                </c:pt>
                <c:pt idx="237">
                  <c:v>76720810</c:v>
                </c:pt>
                <c:pt idx="238">
                  <c:v>76720810</c:v>
                </c:pt>
                <c:pt idx="239">
                  <c:v>76720810</c:v>
                </c:pt>
                <c:pt idx="240">
                  <c:v>76720810</c:v>
                </c:pt>
                <c:pt idx="241">
                  <c:v>76720810</c:v>
                </c:pt>
                <c:pt idx="242">
                  <c:v>76720810</c:v>
                </c:pt>
                <c:pt idx="243">
                  <c:v>76720810</c:v>
                </c:pt>
                <c:pt idx="244">
                  <c:v>76720810</c:v>
                </c:pt>
                <c:pt idx="245">
                  <c:v>76720810</c:v>
                </c:pt>
                <c:pt idx="246">
                  <c:v>76720810</c:v>
                </c:pt>
                <c:pt idx="247">
                  <c:v>76720810</c:v>
                </c:pt>
                <c:pt idx="248">
                  <c:v>76720810</c:v>
                </c:pt>
                <c:pt idx="249">
                  <c:v>76720810</c:v>
                </c:pt>
                <c:pt idx="250">
                  <c:v>76720810</c:v>
                </c:pt>
                <c:pt idx="251">
                  <c:v>76720810</c:v>
                </c:pt>
                <c:pt idx="252">
                  <c:v>76720810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9-4ECB-927D-84F6DA6B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476888"/>
        <c:axId val="623476528"/>
      </c:lineChart>
      <c:catAx>
        <c:axId val="508439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Trading</a:t>
                </a:r>
                <a:r>
                  <a:rPr lang="en-US" sz="1100" baseline="0"/>
                  <a:t> Days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40144"/>
        <c:crosses val="autoZero"/>
        <c:auto val="1"/>
        <c:lblAlgn val="ctr"/>
        <c:lblOffset val="100"/>
        <c:tickLblSkip val="50"/>
        <c:noMultiLvlLbl val="0"/>
      </c:catAx>
      <c:valAx>
        <c:axId val="508440144"/>
        <c:scaling>
          <c:orientation val="minMax"/>
          <c:max val="720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Market</a:t>
                </a:r>
                <a:r>
                  <a:rPr lang="en-US" sz="1200" baseline="0"/>
                  <a:t> Capitalization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39784"/>
        <c:crossesAt val="1"/>
        <c:crossBetween val="between"/>
        <c:majorUnit val="50"/>
      </c:valAx>
      <c:valAx>
        <c:axId val="6234765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Share</a:t>
                </a:r>
                <a:r>
                  <a:rPr lang="en-US" sz="1600" baseline="0"/>
                  <a:t> on Issue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76888"/>
        <c:crosses val="max"/>
        <c:crossBetween val="between"/>
        <c:majorUnit val="20000000"/>
        <c:minorUnit val="7500000"/>
      </c:valAx>
      <c:catAx>
        <c:axId val="623476888"/>
        <c:scaling>
          <c:orientation val="minMax"/>
        </c:scaling>
        <c:delete val="1"/>
        <c:axPos val="b"/>
        <c:majorTickMark val="out"/>
        <c:minorTickMark val="none"/>
        <c:tickLblPos val="nextTo"/>
        <c:crossAx val="623476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17494253157609"/>
          <c:y val="0.87408417932913329"/>
          <c:w val="0.32765000749412959"/>
          <c:h val="5.8932630368214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  <a:alpha val="97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P/E VS Price </a:t>
            </a:r>
          </a:p>
        </c:rich>
      </c:tx>
      <c:layout>
        <c:manualLayout>
          <c:xMode val="edge"/>
          <c:yMode val="edge"/>
          <c:x val="0.44226243736578386"/>
          <c:y val="5.3272450532724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64304574511669E-2"/>
          <c:y val="0.12965276584973376"/>
          <c:w val="0.87501831593080004"/>
          <c:h val="0.67329396325459323"/>
        </c:manualLayout>
      </c:layout>
      <c:lineChart>
        <c:grouping val="standard"/>
        <c:varyColors val="0"/>
        <c:ser>
          <c:idx val="1"/>
          <c:order val="1"/>
          <c:tx>
            <c:strRef>
              <c:f>PE!$E$1</c:f>
              <c:strCache>
                <c:ptCount val="1"/>
                <c:pt idx="0">
                  <c:v>Data analysis PE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64"/>
              <c:layout>
                <c:manualLayout>
                  <c:x val="-4.734848484848485E-3"/>
                  <c:y val="-7.99086757990867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Flat PE Ratio-</a:t>
                    </a:r>
                    <a:fld id="{A29DFA61-A1E8-4F05-BEF2-C7FE4FA9535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4F2-44DA-8D8B-77F1AC168A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PE!$E$2:$E$254</c:f>
              <c:numCache>
                <c:formatCode>General</c:formatCode>
                <c:ptCount val="253"/>
                <c:pt idx="0">
                  <c:v>21.86</c:v>
                </c:pt>
                <c:pt idx="1">
                  <c:v>21.86</c:v>
                </c:pt>
                <c:pt idx="2">
                  <c:v>21.86</c:v>
                </c:pt>
                <c:pt idx="3">
                  <c:v>21.86</c:v>
                </c:pt>
                <c:pt idx="4">
                  <c:v>21.86</c:v>
                </c:pt>
                <c:pt idx="5">
                  <c:v>21.86</c:v>
                </c:pt>
                <c:pt idx="6">
                  <c:v>21.86</c:v>
                </c:pt>
                <c:pt idx="7">
                  <c:v>21.86</c:v>
                </c:pt>
                <c:pt idx="8">
                  <c:v>21.86</c:v>
                </c:pt>
                <c:pt idx="9">
                  <c:v>21.86</c:v>
                </c:pt>
                <c:pt idx="10">
                  <c:v>21.86</c:v>
                </c:pt>
                <c:pt idx="11">
                  <c:v>21.86</c:v>
                </c:pt>
                <c:pt idx="12">
                  <c:v>21.86</c:v>
                </c:pt>
                <c:pt idx="13">
                  <c:v>21.86</c:v>
                </c:pt>
                <c:pt idx="14">
                  <c:v>21.86</c:v>
                </c:pt>
                <c:pt idx="15">
                  <c:v>21.86</c:v>
                </c:pt>
                <c:pt idx="16">
                  <c:v>21.86</c:v>
                </c:pt>
                <c:pt idx="17">
                  <c:v>21.86</c:v>
                </c:pt>
                <c:pt idx="18">
                  <c:v>21.86</c:v>
                </c:pt>
                <c:pt idx="19">
                  <c:v>21.86</c:v>
                </c:pt>
                <c:pt idx="20">
                  <c:v>21.86</c:v>
                </c:pt>
                <c:pt idx="21">
                  <c:v>21.86</c:v>
                </c:pt>
                <c:pt idx="22">
                  <c:v>21.86</c:v>
                </c:pt>
                <c:pt idx="23">
                  <c:v>21.86</c:v>
                </c:pt>
                <c:pt idx="24">
                  <c:v>21.86</c:v>
                </c:pt>
                <c:pt idx="25">
                  <c:v>21.86</c:v>
                </c:pt>
                <c:pt idx="26">
                  <c:v>21.86</c:v>
                </c:pt>
                <c:pt idx="27">
                  <c:v>21.86</c:v>
                </c:pt>
                <c:pt idx="28">
                  <c:v>21.86</c:v>
                </c:pt>
                <c:pt idx="29">
                  <c:v>21.86</c:v>
                </c:pt>
                <c:pt idx="30">
                  <c:v>21.86</c:v>
                </c:pt>
                <c:pt idx="31">
                  <c:v>21.86</c:v>
                </c:pt>
                <c:pt idx="32">
                  <c:v>21.86</c:v>
                </c:pt>
                <c:pt idx="33">
                  <c:v>21.86</c:v>
                </c:pt>
                <c:pt idx="34">
                  <c:v>21.86</c:v>
                </c:pt>
                <c:pt idx="35">
                  <c:v>21.86</c:v>
                </c:pt>
                <c:pt idx="36">
                  <c:v>21.86</c:v>
                </c:pt>
                <c:pt idx="37">
                  <c:v>21.86</c:v>
                </c:pt>
                <c:pt idx="38">
                  <c:v>21.86</c:v>
                </c:pt>
                <c:pt idx="39">
                  <c:v>21.86</c:v>
                </c:pt>
                <c:pt idx="40">
                  <c:v>21.86</c:v>
                </c:pt>
                <c:pt idx="41">
                  <c:v>21.86</c:v>
                </c:pt>
                <c:pt idx="42">
                  <c:v>21.86</c:v>
                </c:pt>
                <c:pt idx="43">
                  <c:v>21.86</c:v>
                </c:pt>
                <c:pt idx="44">
                  <c:v>21.86</c:v>
                </c:pt>
                <c:pt idx="45">
                  <c:v>21.86</c:v>
                </c:pt>
                <c:pt idx="46">
                  <c:v>21.86</c:v>
                </c:pt>
                <c:pt idx="47">
                  <c:v>21.86</c:v>
                </c:pt>
                <c:pt idx="48">
                  <c:v>21.86</c:v>
                </c:pt>
                <c:pt idx="49">
                  <c:v>21.86</c:v>
                </c:pt>
                <c:pt idx="50">
                  <c:v>21.86</c:v>
                </c:pt>
                <c:pt idx="51">
                  <c:v>21.86</c:v>
                </c:pt>
                <c:pt idx="52">
                  <c:v>21.86</c:v>
                </c:pt>
                <c:pt idx="53">
                  <c:v>21.86</c:v>
                </c:pt>
                <c:pt idx="54">
                  <c:v>21.86</c:v>
                </c:pt>
                <c:pt idx="55">
                  <c:v>21.86</c:v>
                </c:pt>
                <c:pt idx="56">
                  <c:v>21.86</c:v>
                </c:pt>
                <c:pt idx="57">
                  <c:v>21.86</c:v>
                </c:pt>
                <c:pt idx="58">
                  <c:v>21.86</c:v>
                </c:pt>
                <c:pt idx="59">
                  <c:v>21.86</c:v>
                </c:pt>
                <c:pt idx="60">
                  <c:v>21.86</c:v>
                </c:pt>
                <c:pt idx="61">
                  <c:v>21.86</c:v>
                </c:pt>
                <c:pt idx="62">
                  <c:v>21.86</c:v>
                </c:pt>
                <c:pt idx="63">
                  <c:v>21.86</c:v>
                </c:pt>
                <c:pt idx="64">
                  <c:v>21.86</c:v>
                </c:pt>
                <c:pt idx="65">
                  <c:v>21.86</c:v>
                </c:pt>
                <c:pt idx="66">
                  <c:v>21.86</c:v>
                </c:pt>
                <c:pt idx="67">
                  <c:v>21.86</c:v>
                </c:pt>
                <c:pt idx="68">
                  <c:v>21.86</c:v>
                </c:pt>
                <c:pt idx="69">
                  <c:v>21.86</c:v>
                </c:pt>
                <c:pt idx="70">
                  <c:v>21.86</c:v>
                </c:pt>
                <c:pt idx="71">
                  <c:v>21.86</c:v>
                </c:pt>
                <c:pt idx="72">
                  <c:v>21.86</c:v>
                </c:pt>
                <c:pt idx="73">
                  <c:v>21.86</c:v>
                </c:pt>
                <c:pt idx="74">
                  <c:v>21.86</c:v>
                </c:pt>
                <c:pt idx="75">
                  <c:v>21.86</c:v>
                </c:pt>
                <c:pt idx="76">
                  <c:v>21.86</c:v>
                </c:pt>
                <c:pt idx="77">
                  <c:v>21.86</c:v>
                </c:pt>
                <c:pt idx="78">
                  <c:v>21.86</c:v>
                </c:pt>
                <c:pt idx="79">
                  <c:v>21.86</c:v>
                </c:pt>
                <c:pt idx="80">
                  <c:v>21.86</c:v>
                </c:pt>
                <c:pt idx="81">
                  <c:v>21.86</c:v>
                </c:pt>
                <c:pt idx="82">
                  <c:v>21.86</c:v>
                </c:pt>
                <c:pt idx="83">
                  <c:v>21.86</c:v>
                </c:pt>
                <c:pt idx="84">
                  <c:v>21.86</c:v>
                </c:pt>
                <c:pt idx="85">
                  <c:v>21.86</c:v>
                </c:pt>
                <c:pt idx="86">
                  <c:v>21.86</c:v>
                </c:pt>
                <c:pt idx="87">
                  <c:v>21.86</c:v>
                </c:pt>
                <c:pt idx="88">
                  <c:v>21.86</c:v>
                </c:pt>
                <c:pt idx="89">
                  <c:v>21.86</c:v>
                </c:pt>
                <c:pt idx="90">
                  <c:v>21.86</c:v>
                </c:pt>
                <c:pt idx="91">
                  <c:v>21.86</c:v>
                </c:pt>
                <c:pt idx="92">
                  <c:v>21.86</c:v>
                </c:pt>
                <c:pt idx="93">
                  <c:v>21.86</c:v>
                </c:pt>
                <c:pt idx="94">
                  <c:v>21.86</c:v>
                </c:pt>
                <c:pt idx="95">
                  <c:v>21.86</c:v>
                </c:pt>
                <c:pt idx="96">
                  <c:v>21.86</c:v>
                </c:pt>
                <c:pt idx="97">
                  <c:v>21.86</c:v>
                </c:pt>
                <c:pt idx="98">
                  <c:v>21.86</c:v>
                </c:pt>
                <c:pt idx="99">
                  <c:v>21.86</c:v>
                </c:pt>
                <c:pt idx="100">
                  <c:v>21.86</c:v>
                </c:pt>
                <c:pt idx="101">
                  <c:v>21.86</c:v>
                </c:pt>
                <c:pt idx="102">
                  <c:v>21.86</c:v>
                </c:pt>
                <c:pt idx="103">
                  <c:v>21.86</c:v>
                </c:pt>
                <c:pt idx="104">
                  <c:v>21.86</c:v>
                </c:pt>
                <c:pt idx="105">
                  <c:v>21.86</c:v>
                </c:pt>
                <c:pt idx="106">
                  <c:v>21.86</c:v>
                </c:pt>
                <c:pt idx="107">
                  <c:v>21.86</c:v>
                </c:pt>
                <c:pt idx="108">
                  <c:v>21.86</c:v>
                </c:pt>
                <c:pt idx="109">
                  <c:v>21.86</c:v>
                </c:pt>
                <c:pt idx="110">
                  <c:v>21.86</c:v>
                </c:pt>
                <c:pt idx="111">
                  <c:v>21.86</c:v>
                </c:pt>
                <c:pt idx="112">
                  <c:v>21.86</c:v>
                </c:pt>
                <c:pt idx="113">
                  <c:v>21.86</c:v>
                </c:pt>
                <c:pt idx="114">
                  <c:v>21.86</c:v>
                </c:pt>
                <c:pt idx="115">
                  <c:v>21.86</c:v>
                </c:pt>
                <c:pt idx="116">
                  <c:v>21.86</c:v>
                </c:pt>
                <c:pt idx="117">
                  <c:v>21.86</c:v>
                </c:pt>
                <c:pt idx="118">
                  <c:v>21.86</c:v>
                </c:pt>
                <c:pt idx="119">
                  <c:v>21.86</c:v>
                </c:pt>
                <c:pt idx="120">
                  <c:v>21.86</c:v>
                </c:pt>
                <c:pt idx="121">
                  <c:v>21.86</c:v>
                </c:pt>
                <c:pt idx="122">
                  <c:v>21.86</c:v>
                </c:pt>
                <c:pt idx="123">
                  <c:v>21.86</c:v>
                </c:pt>
                <c:pt idx="124">
                  <c:v>21.86</c:v>
                </c:pt>
                <c:pt idx="125">
                  <c:v>21.86</c:v>
                </c:pt>
                <c:pt idx="126">
                  <c:v>21.86</c:v>
                </c:pt>
                <c:pt idx="127">
                  <c:v>21.86</c:v>
                </c:pt>
                <c:pt idx="128">
                  <c:v>21.86</c:v>
                </c:pt>
                <c:pt idx="129">
                  <c:v>21.86</c:v>
                </c:pt>
                <c:pt idx="130">
                  <c:v>21.86</c:v>
                </c:pt>
                <c:pt idx="131">
                  <c:v>21.86</c:v>
                </c:pt>
                <c:pt idx="132">
                  <c:v>21.86</c:v>
                </c:pt>
                <c:pt idx="133">
                  <c:v>21.86</c:v>
                </c:pt>
                <c:pt idx="134">
                  <c:v>21.86</c:v>
                </c:pt>
                <c:pt idx="135">
                  <c:v>21.86</c:v>
                </c:pt>
                <c:pt idx="136">
                  <c:v>21.86</c:v>
                </c:pt>
                <c:pt idx="137">
                  <c:v>21.86</c:v>
                </c:pt>
                <c:pt idx="138">
                  <c:v>21.86</c:v>
                </c:pt>
                <c:pt idx="139">
                  <c:v>21.86</c:v>
                </c:pt>
                <c:pt idx="140">
                  <c:v>21.86</c:v>
                </c:pt>
                <c:pt idx="141">
                  <c:v>21.86</c:v>
                </c:pt>
                <c:pt idx="142">
                  <c:v>21.86</c:v>
                </c:pt>
                <c:pt idx="143">
                  <c:v>21.86</c:v>
                </c:pt>
                <c:pt idx="144">
                  <c:v>21.86</c:v>
                </c:pt>
                <c:pt idx="145">
                  <c:v>21.86</c:v>
                </c:pt>
                <c:pt idx="146">
                  <c:v>21.86</c:v>
                </c:pt>
                <c:pt idx="147">
                  <c:v>21.86</c:v>
                </c:pt>
                <c:pt idx="148">
                  <c:v>21.86</c:v>
                </c:pt>
                <c:pt idx="149">
                  <c:v>21.86</c:v>
                </c:pt>
                <c:pt idx="150">
                  <c:v>21.86</c:v>
                </c:pt>
                <c:pt idx="151">
                  <c:v>21.86</c:v>
                </c:pt>
                <c:pt idx="152">
                  <c:v>21.86</c:v>
                </c:pt>
                <c:pt idx="153">
                  <c:v>21.86</c:v>
                </c:pt>
                <c:pt idx="154">
                  <c:v>21.86</c:v>
                </c:pt>
                <c:pt idx="155">
                  <c:v>21.86</c:v>
                </c:pt>
                <c:pt idx="156">
                  <c:v>21.86</c:v>
                </c:pt>
                <c:pt idx="157">
                  <c:v>21.86</c:v>
                </c:pt>
                <c:pt idx="158">
                  <c:v>21.86</c:v>
                </c:pt>
                <c:pt idx="159">
                  <c:v>21.86</c:v>
                </c:pt>
                <c:pt idx="160">
                  <c:v>21.86</c:v>
                </c:pt>
                <c:pt idx="161">
                  <c:v>21.86</c:v>
                </c:pt>
                <c:pt idx="162">
                  <c:v>21.86</c:v>
                </c:pt>
                <c:pt idx="163">
                  <c:v>21.86</c:v>
                </c:pt>
                <c:pt idx="164">
                  <c:v>21.86</c:v>
                </c:pt>
                <c:pt idx="165">
                  <c:v>21.86</c:v>
                </c:pt>
                <c:pt idx="166">
                  <c:v>21.86</c:v>
                </c:pt>
                <c:pt idx="167">
                  <c:v>21.86</c:v>
                </c:pt>
                <c:pt idx="168">
                  <c:v>21.86</c:v>
                </c:pt>
                <c:pt idx="169">
                  <c:v>21.86</c:v>
                </c:pt>
                <c:pt idx="170">
                  <c:v>21.86</c:v>
                </c:pt>
                <c:pt idx="171">
                  <c:v>21.86</c:v>
                </c:pt>
                <c:pt idx="172">
                  <c:v>21.86</c:v>
                </c:pt>
                <c:pt idx="173">
                  <c:v>21.86</c:v>
                </c:pt>
                <c:pt idx="174">
                  <c:v>21.86</c:v>
                </c:pt>
                <c:pt idx="175">
                  <c:v>21.86</c:v>
                </c:pt>
                <c:pt idx="176">
                  <c:v>21.86</c:v>
                </c:pt>
                <c:pt idx="177">
                  <c:v>21.86</c:v>
                </c:pt>
                <c:pt idx="178">
                  <c:v>21.86</c:v>
                </c:pt>
                <c:pt idx="179">
                  <c:v>21.86</c:v>
                </c:pt>
                <c:pt idx="180">
                  <c:v>21.86</c:v>
                </c:pt>
                <c:pt idx="181">
                  <c:v>21.86</c:v>
                </c:pt>
                <c:pt idx="182">
                  <c:v>21.86</c:v>
                </c:pt>
                <c:pt idx="183">
                  <c:v>21.86</c:v>
                </c:pt>
                <c:pt idx="184">
                  <c:v>21.86</c:v>
                </c:pt>
                <c:pt idx="185">
                  <c:v>21.86</c:v>
                </c:pt>
                <c:pt idx="186">
                  <c:v>21.86</c:v>
                </c:pt>
                <c:pt idx="187">
                  <c:v>21.86</c:v>
                </c:pt>
                <c:pt idx="188">
                  <c:v>21.86</c:v>
                </c:pt>
                <c:pt idx="189">
                  <c:v>21.86</c:v>
                </c:pt>
                <c:pt idx="190">
                  <c:v>21.86</c:v>
                </c:pt>
                <c:pt idx="191">
                  <c:v>21.86</c:v>
                </c:pt>
                <c:pt idx="192">
                  <c:v>21.86</c:v>
                </c:pt>
                <c:pt idx="193">
                  <c:v>21.86</c:v>
                </c:pt>
                <c:pt idx="194">
                  <c:v>21.86</c:v>
                </c:pt>
                <c:pt idx="195">
                  <c:v>21.86</c:v>
                </c:pt>
                <c:pt idx="196">
                  <c:v>21.86</c:v>
                </c:pt>
                <c:pt idx="197">
                  <c:v>21.86</c:v>
                </c:pt>
                <c:pt idx="198">
                  <c:v>21.86</c:v>
                </c:pt>
                <c:pt idx="199">
                  <c:v>21.86</c:v>
                </c:pt>
                <c:pt idx="200">
                  <c:v>21.86</c:v>
                </c:pt>
                <c:pt idx="201">
                  <c:v>21.86</c:v>
                </c:pt>
                <c:pt idx="202">
                  <c:v>21.86</c:v>
                </c:pt>
                <c:pt idx="203">
                  <c:v>21.86</c:v>
                </c:pt>
                <c:pt idx="204">
                  <c:v>21.86</c:v>
                </c:pt>
                <c:pt idx="205">
                  <c:v>21.86</c:v>
                </c:pt>
                <c:pt idx="206">
                  <c:v>21.86</c:v>
                </c:pt>
                <c:pt idx="207">
                  <c:v>21.86</c:v>
                </c:pt>
                <c:pt idx="208">
                  <c:v>21.86</c:v>
                </c:pt>
                <c:pt idx="209">
                  <c:v>21.86</c:v>
                </c:pt>
                <c:pt idx="210">
                  <c:v>21.86</c:v>
                </c:pt>
                <c:pt idx="211">
                  <c:v>21.86</c:v>
                </c:pt>
                <c:pt idx="212">
                  <c:v>21.86</c:v>
                </c:pt>
                <c:pt idx="213">
                  <c:v>21.86</c:v>
                </c:pt>
                <c:pt idx="214">
                  <c:v>21.86</c:v>
                </c:pt>
                <c:pt idx="215">
                  <c:v>21.86</c:v>
                </c:pt>
                <c:pt idx="216">
                  <c:v>21.86</c:v>
                </c:pt>
                <c:pt idx="217">
                  <c:v>21.86</c:v>
                </c:pt>
                <c:pt idx="218">
                  <c:v>21.86</c:v>
                </c:pt>
                <c:pt idx="219">
                  <c:v>21.86</c:v>
                </c:pt>
                <c:pt idx="220">
                  <c:v>21.86</c:v>
                </c:pt>
                <c:pt idx="221">
                  <c:v>21.86</c:v>
                </c:pt>
                <c:pt idx="222">
                  <c:v>21.86</c:v>
                </c:pt>
                <c:pt idx="223">
                  <c:v>21.86</c:v>
                </c:pt>
                <c:pt idx="224">
                  <c:v>21.86</c:v>
                </c:pt>
                <c:pt idx="225">
                  <c:v>21.86</c:v>
                </c:pt>
                <c:pt idx="226">
                  <c:v>21.86</c:v>
                </c:pt>
                <c:pt idx="227">
                  <c:v>21.86</c:v>
                </c:pt>
                <c:pt idx="228">
                  <c:v>21.86</c:v>
                </c:pt>
                <c:pt idx="229">
                  <c:v>21.86</c:v>
                </c:pt>
                <c:pt idx="230">
                  <c:v>21.86</c:v>
                </c:pt>
                <c:pt idx="231">
                  <c:v>21.86</c:v>
                </c:pt>
                <c:pt idx="232">
                  <c:v>21.86</c:v>
                </c:pt>
                <c:pt idx="233">
                  <c:v>21.86</c:v>
                </c:pt>
                <c:pt idx="234">
                  <c:v>21.86</c:v>
                </c:pt>
                <c:pt idx="235">
                  <c:v>21.86</c:v>
                </c:pt>
                <c:pt idx="236">
                  <c:v>21.86</c:v>
                </c:pt>
                <c:pt idx="237">
                  <c:v>21.86</c:v>
                </c:pt>
                <c:pt idx="238">
                  <c:v>21.86</c:v>
                </c:pt>
                <c:pt idx="239">
                  <c:v>21.86</c:v>
                </c:pt>
                <c:pt idx="240">
                  <c:v>21.86</c:v>
                </c:pt>
                <c:pt idx="241">
                  <c:v>21.86</c:v>
                </c:pt>
                <c:pt idx="242">
                  <c:v>21.86</c:v>
                </c:pt>
                <c:pt idx="243">
                  <c:v>21.86</c:v>
                </c:pt>
                <c:pt idx="244">
                  <c:v>21.86</c:v>
                </c:pt>
                <c:pt idx="245">
                  <c:v>21.86</c:v>
                </c:pt>
                <c:pt idx="246">
                  <c:v>21.86</c:v>
                </c:pt>
                <c:pt idx="247">
                  <c:v>21.86</c:v>
                </c:pt>
                <c:pt idx="248">
                  <c:v>21.86</c:v>
                </c:pt>
                <c:pt idx="249">
                  <c:v>21.86</c:v>
                </c:pt>
                <c:pt idx="250">
                  <c:v>21.86</c:v>
                </c:pt>
                <c:pt idx="251">
                  <c:v>21.86</c:v>
                </c:pt>
                <c:pt idx="252">
                  <c:v>21.86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5-41A2-94EF-5DCB58B36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574112"/>
        <c:axId val="959569792"/>
      </c:lineChart>
      <c:lineChart>
        <c:grouping val="standard"/>
        <c:varyColors val="0"/>
        <c:ser>
          <c:idx val="0"/>
          <c:order val="0"/>
          <c:tx>
            <c:strRef>
              <c:f>PE!$B$1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64"/>
              <c:layout>
                <c:manualLayout>
                  <c:x val="-9.46969696969697E-3"/>
                  <c:y val="-0.10273957621735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rgbClr val="00B050"/>
                        </a:solidFill>
                      </a:rPr>
                      <a:t>Price Peak-</a:t>
                    </a:r>
                    <a:fld id="{E3D6E516-BFCB-4971-A6B8-4A556837F787}" type="VALUE">
                      <a:rPr lang="en-US" b="1">
                        <a:solidFill>
                          <a:srgbClr val="00B050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US" b="1">
                      <a:solidFill>
                        <a:srgbClr val="00B05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92613636363638"/>
                      <c:h val="6.463104783134983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4F2-44DA-8D8B-77F1AC168A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PE!$B$2:$B$254</c:f>
              <c:numCache>
                <c:formatCode>General</c:formatCode>
                <c:ptCount val="253"/>
                <c:pt idx="0">
                  <c:v>4.95</c:v>
                </c:pt>
                <c:pt idx="1">
                  <c:v>4.96</c:v>
                </c:pt>
                <c:pt idx="2">
                  <c:v>4.8099999999999996</c:v>
                </c:pt>
                <c:pt idx="3">
                  <c:v>4.84</c:v>
                </c:pt>
                <c:pt idx="4">
                  <c:v>4.82</c:v>
                </c:pt>
                <c:pt idx="5">
                  <c:v>4.8099999999999996</c:v>
                </c:pt>
                <c:pt idx="6">
                  <c:v>4.91</c:v>
                </c:pt>
                <c:pt idx="7">
                  <c:v>4.91</c:v>
                </c:pt>
                <c:pt idx="8">
                  <c:v>5</c:v>
                </c:pt>
                <c:pt idx="9">
                  <c:v>5.08</c:v>
                </c:pt>
                <c:pt idx="10">
                  <c:v>4.95</c:v>
                </c:pt>
                <c:pt idx="11">
                  <c:v>5.19</c:v>
                </c:pt>
                <c:pt idx="12">
                  <c:v>5.38</c:v>
                </c:pt>
                <c:pt idx="13">
                  <c:v>5.46</c:v>
                </c:pt>
                <c:pt idx="14">
                  <c:v>5.75</c:v>
                </c:pt>
                <c:pt idx="15">
                  <c:v>5.77</c:v>
                </c:pt>
                <c:pt idx="16">
                  <c:v>5.88</c:v>
                </c:pt>
                <c:pt idx="17">
                  <c:v>5.9</c:v>
                </c:pt>
                <c:pt idx="18">
                  <c:v>5.75</c:v>
                </c:pt>
                <c:pt idx="19">
                  <c:v>5.65</c:v>
                </c:pt>
                <c:pt idx="20">
                  <c:v>5.8</c:v>
                </c:pt>
                <c:pt idx="21">
                  <c:v>5.75</c:v>
                </c:pt>
                <c:pt idx="22">
                  <c:v>5.82</c:v>
                </c:pt>
                <c:pt idx="23">
                  <c:v>6.03</c:v>
                </c:pt>
                <c:pt idx="24">
                  <c:v>5.99</c:v>
                </c:pt>
                <c:pt idx="25">
                  <c:v>5.65</c:v>
                </c:pt>
                <c:pt idx="26">
                  <c:v>5.85</c:v>
                </c:pt>
                <c:pt idx="27">
                  <c:v>5.94</c:v>
                </c:pt>
                <c:pt idx="28">
                  <c:v>5.82</c:v>
                </c:pt>
                <c:pt idx="29">
                  <c:v>5.89</c:v>
                </c:pt>
                <c:pt idx="30">
                  <c:v>6.01</c:v>
                </c:pt>
                <c:pt idx="31">
                  <c:v>6.15</c:v>
                </c:pt>
                <c:pt idx="32">
                  <c:v>6.09</c:v>
                </c:pt>
                <c:pt idx="33">
                  <c:v>6.1</c:v>
                </c:pt>
                <c:pt idx="34">
                  <c:v>6.1</c:v>
                </c:pt>
                <c:pt idx="35">
                  <c:v>6.07</c:v>
                </c:pt>
                <c:pt idx="36">
                  <c:v>6.42</c:v>
                </c:pt>
                <c:pt idx="37">
                  <c:v>6.34</c:v>
                </c:pt>
                <c:pt idx="38">
                  <c:v>7.05</c:v>
                </c:pt>
                <c:pt idx="39">
                  <c:v>6.88</c:v>
                </c:pt>
                <c:pt idx="40">
                  <c:v>7</c:v>
                </c:pt>
                <c:pt idx="41">
                  <c:v>7</c:v>
                </c:pt>
                <c:pt idx="42">
                  <c:v>6.99</c:v>
                </c:pt>
                <c:pt idx="43">
                  <c:v>6.88</c:v>
                </c:pt>
                <c:pt idx="44">
                  <c:v>6.94</c:v>
                </c:pt>
                <c:pt idx="45">
                  <c:v>7</c:v>
                </c:pt>
                <c:pt idx="46">
                  <c:v>6.98</c:v>
                </c:pt>
                <c:pt idx="47">
                  <c:v>6.82</c:v>
                </c:pt>
                <c:pt idx="48">
                  <c:v>6.78</c:v>
                </c:pt>
                <c:pt idx="49">
                  <c:v>6.85</c:v>
                </c:pt>
                <c:pt idx="50">
                  <c:v>6.72</c:v>
                </c:pt>
                <c:pt idx="51">
                  <c:v>6.65</c:v>
                </c:pt>
                <c:pt idx="52">
                  <c:v>6.66</c:v>
                </c:pt>
                <c:pt idx="53">
                  <c:v>6.7</c:v>
                </c:pt>
                <c:pt idx="54">
                  <c:v>6.67</c:v>
                </c:pt>
                <c:pt idx="55">
                  <c:v>6.7</c:v>
                </c:pt>
                <c:pt idx="56">
                  <c:v>6.7</c:v>
                </c:pt>
                <c:pt idx="57">
                  <c:v>6.75</c:v>
                </c:pt>
                <c:pt idx="58">
                  <c:v>6.76</c:v>
                </c:pt>
                <c:pt idx="59">
                  <c:v>6.91</c:v>
                </c:pt>
                <c:pt idx="60">
                  <c:v>7.04</c:v>
                </c:pt>
                <c:pt idx="61">
                  <c:v>7.08</c:v>
                </c:pt>
                <c:pt idx="62">
                  <c:v>7.09</c:v>
                </c:pt>
                <c:pt idx="63">
                  <c:v>7.3</c:v>
                </c:pt>
                <c:pt idx="64">
                  <c:v>7.31</c:v>
                </c:pt>
                <c:pt idx="65">
                  <c:v>7.5</c:v>
                </c:pt>
                <c:pt idx="66">
                  <c:v>7.64</c:v>
                </c:pt>
                <c:pt idx="67">
                  <c:v>7.7</c:v>
                </c:pt>
                <c:pt idx="68">
                  <c:v>7.75</c:v>
                </c:pt>
                <c:pt idx="69">
                  <c:v>7.6</c:v>
                </c:pt>
                <c:pt idx="70">
                  <c:v>7.7</c:v>
                </c:pt>
                <c:pt idx="71">
                  <c:v>7.65</c:v>
                </c:pt>
                <c:pt idx="72">
                  <c:v>7.75</c:v>
                </c:pt>
                <c:pt idx="73">
                  <c:v>7.7</c:v>
                </c:pt>
                <c:pt idx="74">
                  <c:v>7.71</c:v>
                </c:pt>
                <c:pt idx="75">
                  <c:v>7.62</c:v>
                </c:pt>
                <c:pt idx="76">
                  <c:v>8.0299999999999994</c:v>
                </c:pt>
                <c:pt idx="77">
                  <c:v>8.1199999999999992</c:v>
                </c:pt>
                <c:pt idx="78">
                  <c:v>8.09</c:v>
                </c:pt>
                <c:pt idx="79">
                  <c:v>8.16</c:v>
                </c:pt>
                <c:pt idx="80">
                  <c:v>8.25</c:v>
                </c:pt>
                <c:pt idx="81">
                  <c:v>8.25</c:v>
                </c:pt>
                <c:pt idx="82">
                  <c:v>8.2100000000000009</c:v>
                </c:pt>
                <c:pt idx="83">
                  <c:v>7.96</c:v>
                </c:pt>
                <c:pt idx="84">
                  <c:v>7.98</c:v>
                </c:pt>
                <c:pt idx="85">
                  <c:v>8.19</c:v>
                </c:pt>
                <c:pt idx="86">
                  <c:v>8.33</c:v>
                </c:pt>
                <c:pt idx="87">
                  <c:v>7.99</c:v>
                </c:pt>
                <c:pt idx="88">
                  <c:v>7.88</c:v>
                </c:pt>
                <c:pt idx="89">
                  <c:v>7.8</c:v>
                </c:pt>
                <c:pt idx="90">
                  <c:v>7.65</c:v>
                </c:pt>
                <c:pt idx="91">
                  <c:v>7.64</c:v>
                </c:pt>
                <c:pt idx="92">
                  <c:v>7.68</c:v>
                </c:pt>
                <c:pt idx="93">
                  <c:v>7.61</c:v>
                </c:pt>
                <c:pt idx="94">
                  <c:v>7.73</c:v>
                </c:pt>
                <c:pt idx="95">
                  <c:v>7.73</c:v>
                </c:pt>
                <c:pt idx="96">
                  <c:v>7.83</c:v>
                </c:pt>
                <c:pt idx="97">
                  <c:v>7.78</c:v>
                </c:pt>
                <c:pt idx="98">
                  <c:v>7.75</c:v>
                </c:pt>
                <c:pt idx="99">
                  <c:v>7.92</c:v>
                </c:pt>
                <c:pt idx="100">
                  <c:v>7.91</c:v>
                </c:pt>
                <c:pt idx="101">
                  <c:v>8.01</c:v>
                </c:pt>
                <c:pt idx="102">
                  <c:v>7.77</c:v>
                </c:pt>
                <c:pt idx="103">
                  <c:v>7.46</c:v>
                </c:pt>
                <c:pt idx="104">
                  <c:v>7.44</c:v>
                </c:pt>
                <c:pt idx="105">
                  <c:v>7.46</c:v>
                </c:pt>
                <c:pt idx="106">
                  <c:v>7.66</c:v>
                </c:pt>
                <c:pt idx="107">
                  <c:v>7.66</c:v>
                </c:pt>
                <c:pt idx="108">
                  <c:v>7.55</c:v>
                </c:pt>
                <c:pt idx="109">
                  <c:v>7.8</c:v>
                </c:pt>
                <c:pt idx="110">
                  <c:v>7.66</c:v>
                </c:pt>
                <c:pt idx="111">
                  <c:v>7.9</c:v>
                </c:pt>
                <c:pt idx="112">
                  <c:v>8.08</c:v>
                </c:pt>
                <c:pt idx="113">
                  <c:v>8.14</c:v>
                </c:pt>
                <c:pt idx="114">
                  <c:v>8.06</c:v>
                </c:pt>
                <c:pt idx="115">
                  <c:v>8</c:v>
                </c:pt>
                <c:pt idx="116">
                  <c:v>7.82</c:v>
                </c:pt>
                <c:pt idx="117">
                  <c:v>7.74</c:v>
                </c:pt>
                <c:pt idx="118">
                  <c:v>7.79</c:v>
                </c:pt>
                <c:pt idx="119">
                  <c:v>7.73</c:v>
                </c:pt>
                <c:pt idx="120">
                  <c:v>7.78</c:v>
                </c:pt>
                <c:pt idx="121">
                  <c:v>8.02</c:v>
                </c:pt>
                <c:pt idx="122">
                  <c:v>8.0399999999999991</c:v>
                </c:pt>
                <c:pt idx="123">
                  <c:v>7.94</c:v>
                </c:pt>
                <c:pt idx="124">
                  <c:v>7.97</c:v>
                </c:pt>
                <c:pt idx="125">
                  <c:v>8.02</c:v>
                </c:pt>
                <c:pt idx="126">
                  <c:v>8.14</c:v>
                </c:pt>
                <c:pt idx="127">
                  <c:v>8.39</c:v>
                </c:pt>
                <c:pt idx="128">
                  <c:v>8.31</c:v>
                </c:pt>
                <c:pt idx="129">
                  <c:v>8.58</c:v>
                </c:pt>
                <c:pt idx="130">
                  <c:v>8.1</c:v>
                </c:pt>
                <c:pt idx="131">
                  <c:v>8.18</c:v>
                </c:pt>
                <c:pt idx="132">
                  <c:v>8.25</c:v>
                </c:pt>
                <c:pt idx="133">
                  <c:v>8.44</c:v>
                </c:pt>
                <c:pt idx="134">
                  <c:v>8.3800000000000008</c:v>
                </c:pt>
                <c:pt idx="135">
                  <c:v>8.43</c:v>
                </c:pt>
                <c:pt idx="136">
                  <c:v>8.4</c:v>
                </c:pt>
                <c:pt idx="137">
                  <c:v>8.11</c:v>
                </c:pt>
                <c:pt idx="138">
                  <c:v>8.0299999999999994</c:v>
                </c:pt>
                <c:pt idx="139">
                  <c:v>7.8</c:v>
                </c:pt>
                <c:pt idx="140">
                  <c:v>7.76</c:v>
                </c:pt>
                <c:pt idx="141">
                  <c:v>7.72</c:v>
                </c:pt>
                <c:pt idx="142">
                  <c:v>7.91</c:v>
                </c:pt>
                <c:pt idx="143">
                  <c:v>8.1</c:v>
                </c:pt>
                <c:pt idx="144">
                  <c:v>8.27</c:v>
                </c:pt>
                <c:pt idx="145">
                  <c:v>8.1</c:v>
                </c:pt>
                <c:pt idx="146">
                  <c:v>8.4</c:v>
                </c:pt>
                <c:pt idx="147">
                  <c:v>8.39</c:v>
                </c:pt>
                <c:pt idx="148">
                  <c:v>8.4499999999999993</c:v>
                </c:pt>
                <c:pt idx="149">
                  <c:v>8.4</c:v>
                </c:pt>
                <c:pt idx="150">
                  <c:v>8.52</c:v>
                </c:pt>
                <c:pt idx="151">
                  <c:v>8.17</c:v>
                </c:pt>
                <c:pt idx="152">
                  <c:v>8.11</c:v>
                </c:pt>
                <c:pt idx="153">
                  <c:v>8.09</c:v>
                </c:pt>
                <c:pt idx="154">
                  <c:v>8.3000000000000007</c:v>
                </c:pt>
                <c:pt idx="155">
                  <c:v>8.4700000000000006</c:v>
                </c:pt>
                <c:pt idx="156">
                  <c:v>8.19</c:v>
                </c:pt>
                <c:pt idx="157">
                  <c:v>8.19</c:v>
                </c:pt>
                <c:pt idx="158">
                  <c:v>8.16</c:v>
                </c:pt>
                <c:pt idx="159">
                  <c:v>8.16</c:v>
                </c:pt>
                <c:pt idx="160">
                  <c:v>8.3000000000000007</c:v>
                </c:pt>
                <c:pt idx="161">
                  <c:v>8.4</c:v>
                </c:pt>
                <c:pt idx="162">
                  <c:v>8.43</c:v>
                </c:pt>
                <c:pt idx="163">
                  <c:v>8.48</c:v>
                </c:pt>
                <c:pt idx="164">
                  <c:v>9.3000000000000007</c:v>
                </c:pt>
                <c:pt idx="165">
                  <c:v>9.17</c:v>
                </c:pt>
                <c:pt idx="166">
                  <c:v>8.85</c:v>
                </c:pt>
                <c:pt idx="167">
                  <c:v>8.69</c:v>
                </c:pt>
                <c:pt idx="168">
                  <c:v>8.86</c:v>
                </c:pt>
                <c:pt idx="169">
                  <c:v>8.94</c:v>
                </c:pt>
                <c:pt idx="170">
                  <c:v>8.6999999999999993</c:v>
                </c:pt>
                <c:pt idx="171">
                  <c:v>8.4499999999999993</c:v>
                </c:pt>
                <c:pt idx="172">
                  <c:v>8.36</c:v>
                </c:pt>
                <c:pt idx="173">
                  <c:v>8.4</c:v>
                </c:pt>
                <c:pt idx="174">
                  <c:v>8.14</c:v>
                </c:pt>
                <c:pt idx="175">
                  <c:v>7.93</c:v>
                </c:pt>
                <c:pt idx="176">
                  <c:v>8.02</c:v>
                </c:pt>
                <c:pt idx="177">
                  <c:v>7.55</c:v>
                </c:pt>
                <c:pt idx="178">
                  <c:v>7.42</c:v>
                </c:pt>
                <c:pt idx="179">
                  <c:v>7.4</c:v>
                </c:pt>
                <c:pt idx="180">
                  <c:v>7.4</c:v>
                </c:pt>
                <c:pt idx="181">
                  <c:v>7.65</c:v>
                </c:pt>
                <c:pt idx="182">
                  <c:v>7.9</c:v>
                </c:pt>
                <c:pt idx="183">
                  <c:v>7.49</c:v>
                </c:pt>
                <c:pt idx="184">
                  <c:v>7.5</c:v>
                </c:pt>
                <c:pt idx="185">
                  <c:v>7.53</c:v>
                </c:pt>
                <c:pt idx="186">
                  <c:v>7.59</c:v>
                </c:pt>
                <c:pt idx="187">
                  <c:v>7.95</c:v>
                </c:pt>
                <c:pt idx="188">
                  <c:v>8.0399999999999991</c:v>
                </c:pt>
                <c:pt idx="189">
                  <c:v>8</c:v>
                </c:pt>
                <c:pt idx="190">
                  <c:v>8.1199999999999992</c:v>
                </c:pt>
                <c:pt idx="191">
                  <c:v>7.72</c:v>
                </c:pt>
                <c:pt idx="192">
                  <c:v>7.46</c:v>
                </c:pt>
                <c:pt idx="193">
                  <c:v>7.4</c:v>
                </c:pt>
                <c:pt idx="194">
                  <c:v>7.53</c:v>
                </c:pt>
                <c:pt idx="195">
                  <c:v>7.2</c:v>
                </c:pt>
                <c:pt idx="196">
                  <c:v>6.95</c:v>
                </c:pt>
                <c:pt idx="197">
                  <c:v>6.91</c:v>
                </c:pt>
                <c:pt idx="198">
                  <c:v>6.86</c:v>
                </c:pt>
                <c:pt idx="199">
                  <c:v>7.45</c:v>
                </c:pt>
                <c:pt idx="200">
                  <c:v>7.2</c:v>
                </c:pt>
                <c:pt idx="201">
                  <c:v>7.34</c:v>
                </c:pt>
                <c:pt idx="202">
                  <c:v>7.46</c:v>
                </c:pt>
                <c:pt idx="203">
                  <c:v>7.5</c:v>
                </c:pt>
                <c:pt idx="204">
                  <c:v>7.45</c:v>
                </c:pt>
                <c:pt idx="205">
                  <c:v>7.34</c:v>
                </c:pt>
                <c:pt idx="206">
                  <c:v>7.76</c:v>
                </c:pt>
                <c:pt idx="207">
                  <c:v>7.65</c:v>
                </c:pt>
                <c:pt idx="208">
                  <c:v>7.65</c:v>
                </c:pt>
                <c:pt idx="209">
                  <c:v>7.87</c:v>
                </c:pt>
                <c:pt idx="210">
                  <c:v>7.74</c:v>
                </c:pt>
                <c:pt idx="211">
                  <c:v>7.65</c:v>
                </c:pt>
                <c:pt idx="212">
                  <c:v>7.81</c:v>
                </c:pt>
                <c:pt idx="213">
                  <c:v>7.67</c:v>
                </c:pt>
                <c:pt idx="214">
                  <c:v>7.79</c:v>
                </c:pt>
                <c:pt idx="215">
                  <c:v>7.86</c:v>
                </c:pt>
                <c:pt idx="216">
                  <c:v>7.9</c:v>
                </c:pt>
                <c:pt idx="217">
                  <c:v>7.94</c:v>
                </c:pt>
                <c:pt idx="218">
                  <c:v>8.17</c:v>
                </c:pt>
                <c:pt idx="219">
                  <c:v>8.64</c:v>
                </c:pt>
                <c:pt idx="220">
                  <c:v>8.2899999999999991</c:v>
                </c:pt>
                <c:pt idx="221">
                  <c:v>8.4</c:v>
                </c:pt>
                <c:pt idx="222">
                  <c:v>8.35</c:v>
                </c:pt>
                <c:pt idx="223">
                  <c:v>8.16</c:v>
                </c:pt>
                <c:pt idx="224">
                  <c:v>8.18</c:v>
                </c:pt>
                <c:pt idx="225">
                  <c:v>7.71</c:v>
                </c:pt>
                <c:pt idx="226">
                  <c:v>7.61</c:v>
                </c:pt>
                <c:pt idx="227">
                  <c:v>7.65</c:v>
                </c:pt>
                <c:pt idx="228">
                  <c:v>7.42</c:v>
                </c:pt>
                <c:pt idx="229">
                  <c:v>7.28</c:v>
                </c:pt>
                <c:pt idx="230">
                  <c:v>7.49</c:v>
                </c:pt>
                <c:pt idx="231">
                  <c:v>7.51</c:v>
                </c:pt>
                <c:pt idx="232">
                  <c:v>7.77</c:v>
                </c:pt>
                <c:pt idx="233">
                  <c:v>7.58</c:v>
                </c:pt>
                <c:pt idx="234">
                  <c:v>7.6</c:v>
                </c:pt>
                <c:pt idx="235">
                  <c:v>7.88</c:v>
                </c:pt>
                <c:pt idx="236">
                  <c:v>7.85</c:v>
                </c:pt>
                <c:pt idx="237">
                  <c:v>7.85</c:v>
                </c:pt>
                <c:pt idx="238">
                  <c:v>7.84</c:v>
                </c:pt>
                <c:pt idx="239">
                  <c:v>7.76</c:v>
                </c:pt>
                <c:pt idx="240">
                  <c:v>7.58</c:v>
                </c:pt>
                <c:pt idx="241">
                  <c:v>7.4</c:v>
                </c:pt>
                <c:pt idx="242">
                  <c:v>7.46</c:v>
                </c:pt>
                <c:pt idx="243">
                  <c:v>7.78</c:v>
                </c:pt>
                <c:pt idx="244">
                  <c:v>7.59</c:v>
                </c:pt>
                <c:pt idx="245">
                  <c:v>7.43</c:v>
                </c:pt>
                <c:pt idx="246">
                  <c:v>7.38</c:v>
                </c:pt>
                <c:pt idx="247">
                  <c:v>7.36</c:v>
                </c:pt>
                <c:pt idx="248">
                  <c:v>7.27</c:v>
                </c:pt>
                <c:pt idx="249">
                  <c:v>7.35</c:v>
                </c:pt>
                <c:pt idx="250">
                  <c:v>7.44</c:v>
                </c:pt>
                <c:pt idx="251">
                  <c:v>7.61</c:v>
                </c:pt>
                <c:pt idx="252">
                  <c:v>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5-41A2-94EF-5DCB58B36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733528"/>
        <c:axId val="666730648"/>
      </c:lineChart>
      <c:catAx>
        <c:axId val="95957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69792"/>
        <c:crosses val="autoZero"/>
        <c:auto val="1"/>
        <c:lblAlgn val="ctr"/>
        <c:lblOffset val="100"/>
        <c:noMultiLvlLbl val="0"/>
      </c:catAx>
      <c:valAx>
        <c:axId val="959569792"/>
        <c:scaling>
          <c:orientation val="minMax"/>
          <c:max val="23"/>
          <c:min val="2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PE</a:t>
                </a:r>
              </a:p>
            </c:rich>
          </c:tx>
          <c:layout>
            <c:manualLayout>
              <c:xMode val="edge"/>
              <c:yMode val="edge"/>
              <c:x val="1.2390558274270944E-2"/>
              <c:y val="0.40700495488848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74112"/>
        <c:crosses val="autoZero"/>
        <c:crossBetween val="between"/>
      </c:valAx>
      <c:valAx>
        <c:axId val="666730648"/>
        <c:scaling>
          <c:orientation val="minMax"/>
          <c:min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Close</a:t>
                </a:r>
                <a:r>
                  <a:rPr lang="en-US" sz="1050" baseline="0"/>
                  <a:t> price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33528"/>
        <c:crosses val="max"/>
        <c:crossBetween val="between"/>
      </c:valAx>
      <c:catAx>
        <c:axId val="666733528"/>
        <c:scaling>
          <c:orientation val="minMax"/>
        </c:scaling>
        <c:delete val="1"/>
        <c:axPos val="b"/>
        <c:majorTickMark val="out"/>
        <c:minorTickMark val="none"/>
        <c:tickLblPos val="nextTo"/>
        <c:crossAx val="666730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073013869491995"/>
          <c:y val="0.93501311782022223"/>
          <c:w val="0.22659694403573993"/>
          <c:h val="6.4986882179777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</a:t>
            </a:r>
            <a:r>
              <a:rPr lang="en-US" baseline="0"/>
              <a:t> Yield VS Close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60674748910388E-2"/>
          <c:y val="0.1234299998778606"/>
          <c:w val="0.8146093311485445"/>
          <c:h val="0.58966193139145184"/>
        </c:manualLayout>
      </c:layout>
      <c:lineChart>
        <c:grouping val="standard"/>
        <c:varyColors val="0"/>
        <c:ser>
          <c:idx val="0"/>
          <c:order val="0"/>
          <c:tx>
            <c:strRef>
              <c:f>'Dividend Yield'!$B$1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64"/>
              <c:layout>
                <c:manualLayout>
                  <c:x val="4.2687611339673651E-2"/>
                  <c:y val="1.1617935266604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4F46148-DFAA-4123-BDFC-6DFA5E39F1A0}" type="VALUE">
                      <a:rPr lang="en-US" b="1"/>
                      <a:pPr>
                        <a:defRPr/>
                      </a:pPr>
                      <a:t>[VALUE]</a:t>
                    </a:fld>
                    <a:r>
                      <a:rPr lang="en-US" b="1"/>
                      <a:t> Price</a:t>
                    </a:r>
                    <a:r>
                      <a:rPr lang="en-US" b="1" baseline="0"/>
                      <a:t> peak</a:t>
                    </a:r>
                  </a:p>
                </c:rich>
              </c:tx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49268481172261"/>
                      <c:h val="7.500843386251201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C85-4FBB-9F12-BA3BFAA99AC4}"/>
                </c:ext>
              </c:extLst>
            </c:dLbl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'Dividend Yield'!$A$2:$A$254</c:f>
              <c:numCache>
                <c:formatCode>m/d/yyyy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'Dividend Yield'!$B$2:$B$254</c:f>
              <c:numCache>
                <c:formatCode>General</c:formatCode>
                <c:ptCount val="253"/>
                <c:pt idx="0">
                  <c:v>4.95</c:v>
                </c:pt>
                <c:pt idx="1">
                  <c:v>4.96</c:v>
                </c:pt>
                <c:pt idx="2">
                  <c:v>4.8099999999999996</c:v>
                </c:pt>
                <c:pt idx="3">
                  <c:v>4.84</c:v>
                </c:pt>
                <c:pt idx="4">
                  <c:v>4.82</c:v>
                </c:pt>
                <c:pt idx="5">
                  <c:v>4.8099999999999996</c:v>
                </c:pt>
                <c:pt idx="6">
                  <c:v>4.91</c:v>
                </c:pt>
                <c:pt idx="7">
                  <c:v>4.91</c:v>
                </c:pt>
                <c:pt idx="8">
                  <c:v>5</c:v>
                </c:pt>
                <c:pt idx="9">
                  <c:v>5.08</c:v>
                </c:pt>
                <c:pt idx="10">
                  <c:v>4.95</c:v>
                </c:pt>
                <c:pt idx="11">
                  <c:v>5.19</c:v>
                </c:pt>
                <c:pt idx="12">
                  <c:v>5.38</c:v>
                </c:pt>
                <c:pt idx="13">
                  <c:v>5.46</c:v>
                </c:pt>
                <c:pt idx="14">
                  <c:v>5.75</c:v>
                </c:pt>
                <c:pt idx="15">
                  <c:v>5.77</c:v>
                </c:pt>
                <c:pt idx="16">
                  <c:v>5.88</c:v>
                </c:pt>
                <c:pt idx="17">
                  <c:v>5.9</c:v>
                </c:pt>
                <c:pt idx="18">
                  <c:v>5.75</c:v>
                </c:pt>
                <c:pt idx="19">
                  <c:v>5.65</c:v>
                </c:pt>
                <c:pt idx="20">
                  <c:v>5.8</c:v>
                </c:pt>
                <c:pt idx="21">
                  <c:v>5.75</c:v>
                </c:pt>
                <c:pt idx="22">
                  <c:v>5.82</c:v>
                </c:pt>
                <c:pt idx="23">
                  <c:v>6.03</c:v>
                </c:pt>
                <c:pt idx="24">
                  <c:v>5.99</c:v>
                </c:pt>
                <c:pt idx="25">
                  <c:v>5.65</c:v>
                </c:pt>
                <c:pt idx="26">
                  <c:v>5.85</c:v>
                </c:pt>
                <c:pt idx="27">
                  <c:v>5.94</c:v>
                </c:pt>
                <c:pt idx="28">
                  <c:v>5.82</c:v>
                </c:pt>
                <c:pt idx="29">
                  <c:v>5.89</c:v>
                </c:pt>
                <c:pt idx="30">
                  <c:v>6.01</c:v>
                </c:pt>
                <c:pt idx="31">
                  <c:v>6.15</c:v>
                </c:pt>
                <c:pt idx="32">
                  <c:v>6.09</c:v>
                </c:pt>
                <c:pt idx="33">
                  <c:v>6.1</c:v>
                </c:pt>
                <c:pt idx="34">
                  <c:v>6.1</c:v>
                </c:pt>
                <c:pt idx="35">
                  <c:v>6.07</c:v>
                </c:pt>
                <c:pt idx="36">
                  <c:v>6.42</c:v>
                </c:pt>
                <c:pt idx="37">
                  <c:v>6.34</c:v>
                </c:pt>
                <c:pt idx="38">
                  <c:v>7.05</c:v>
                </c:pt>
                <c:pt idx="39">
                  <c:v>6.88</c:v>
                </c:pt>
                <c:pt idx="40">
                  <c:v>7</c:v>
                </c:pt>
                <c:pt idx="41">
                  <c:v>7</c:v>
                </c:pt>
                <c:pt idx="42">
                  <c:v>6.99</c:v>
                </c:pt>
                <c:pt idx="43">
                  <c:v>6.88</c:v>
                </c:pt>
                <c:pt idx="44">
                  <c:v>6.94</c:v>
                </c:pt>
                <c:pt idx="45">
                  <c:v>7</c:v>
                </c:pt>
                <c:pt idx="46">
                  <c:v>6.98</c:v>
                </c:pt>
                <c:pt idx="47">
                  <c:v>6.82</c:v>
                </c:pt>
                <c:pt idx="48">
                  <c:v>6.78</c:v>
                </c:pt>
                <c:pt idx="49">
                  <c:v>6.85</c:v>
                </c:pt>
                <c:pt idx="50">
                  <c:v>6.72</c:v>
                </c:pt>
                <c:pt idx="51">
                  <c:v>6.65</c:v>
                </c:pt>
                <c:pt idx="52">
                  <c:v>6.66</c:v>
                </c:pt>
                <c:pt idx="53">
                  <c:v>6.7</c:v>
                </c:pt>
                <c:pt idx="54">
                  <c:v>6.67</c:v>
                </c:pt>
                <c:pt idx="55">
                  <c:v>6.7</c:v>
                </c:pt>
                <c:pt idx="56">
                  <c:v>6.7</c:v>
                </c:pt>
                <c:pt idx="57">
                  <c:v>6.75</c:v>
                </c:pt>
                <c:pt idx="58">
                  <c:v>6.76</c:v>
                </c:pt>
                <c:pt idx="59">
                  <c:v>6.91</c:v>
                </c:pt>
                <c:pt idx="60">
                  <c:v>7.04</c:v>
                </c:pt>
                <c:pt idx="61">
                  <c:v>7.08</c:v>
                </c:pt>
                <c:pt idx="62">
                  <c:v>7.09</c:v>
                </c:pt>
                <c:pt idx="63">
                  <c:v>7.3</c:v>
                </c:pt>
                <c:pt idx="64">
                  <c:v>7.31</c:v>
                </c:pt>
                <c:pt idx="65">
                  <c:v>7.5</c:v>
                </c:pt>
                <c:pt idx="66">
                  <c:v>7.64</c:v>
                </c:pt>
                <c:pt idx="67">
                  <c:v>7.7</c:v>
                </c:pt>
                <c:pt idx="68">
                  <c:v>7.75</c:v>
                </c:pt>
                <c:pt idx="69">
                  <c:v>7.6</c:v>
                </c:pt>
                <c:pt idx="70">
                  <c:v>7.7</c:v>
                </c:pt>
                <c:pt idx="71">
                  <c:v>7.65</c:v>
                </c:pt>
                <c:pt idx="72">
                  <c:v>7.75</c:v>
                </c:pt>
                <c:pt idx="73">
                  <c:v>7.7</c:v>
                </c:pt>
                <c:pt idx="74">
                  <c:v>7.71</c:v>
                </c:pt>
                <c:pt idx="75">
                  <c:v>7.62</c:v>
                </c:pt>
                <c:pt idx="76">
                  <c:v>8.0299999999999994</c:v>
                </c:pt>
                <c:pt idx="77">
                  <c:v>8.1199999999999992</c:v>
                </c:pt>
                <c:pt idx="78">
                  <c:v>8.09</c:v>
                </c:pt>
                <c:pt idx="79">
                  <c:v>8.16</c:v>
                </c:pt>
                <c:pt idx="80">
                  <c:v>8.25</c:v>
                </c:pt>
                <c:pt idx="81">
                  <c:v>8.25</c:v>
                </c:pt>
                <c:pt idx="82">
                  <c:v>8.2100000000000009</c:v>
                </c:pt>
                <c:pt idx="83">
                  <c:v>7.96</c:v>
                </c:pt>
                <c:pt idx="84">
                  <c:v>7.98</c:v>
                </c:pt>
                <c:pt idx="85">
                  <c:v>8.19</c:v>
                </c:pt>
                <c:pt idx="86">
                  <c:v>8.33</c:v>
                </c:pt>
                <c:pt idx="87">
                  <c:v>7.99</c:v>
                </c:pt>
                <c:pt idx="88">
                  <c:v>7.88</c:v>
                </c:pt>
                <c:pt idx="89">
                  <c:v>7.8</c:v>
                </c:pt>
                <c:pt idx="90">
                  <c:v>7.65</c:v>
                </c:pt>
                <c:pt idx="91">
                  <c:v>7.64</c:v>
                </c:pt>
                <c:pt idx="92">
                  <c:v>7.68</c:v>
                </c:pt>
                <c:pt idx="93">
                  <c:v>7.61</c:v>
                </c:pt>
                <c:pt idx="94">
                  <c:v>7.73</c:v>
                </c:pt>
                <c:pt idx="95">
                  <c:v>7.73</c:v>
                </c:pt>
                <c:pt idx="96">
                  <c:v>7.83</c:v>
                </c:pt>
                <c:pt idx="97">
                  <c:v>7.78</c:v>
                </c:pt>
                <c:pt idx="98">
                  <c:v>7.75</c:v>
                </c:pt>
                <c:pt idx="99">
                  <c:v>7.92</c:v>
                </c:pt>
                <c:pt idx="100">
                  <c:v>7.91</c:v>
                </c:pt>
                <c:pt idx="101">
                  <c:v>8.01</c:v>
                </c:pt>
                <c:pt idx="102">
                  <c:v>7.77</c:v>
                </c:pt>
                <c:pt idx="103">
                  <c:v>7.46</c:v>
                </c:pt>
                <c:pt idx="104">
                  <c:v>7.44</c:v>
                </c:pt>
                <c:pt idx="105">
                  <c:v>7.46</c:v>
                </c:pt>
                <c:pt idx="106">
                  <c:v>7.66</c:v>
                </c:pt>
                <c:pt idx="107">
                  <c:v>7.66</c:v>
                </c:pt>
                <c:pt idx="108">
                  <c:v>7.55</c:v>
                </c:pt>
                <c:pt idx="109">
                  <c:v>7.8</c:v>
                </c:pt>
                <c:pt idx="110">
                  <c:v>7.66</c:v>
                </c:pt>
                <c:pt idx="111">
                  <c:v>7.9</c:v>
                </c:pt>
                <c:pt idx="112">
                  <c:v>8.08</c:v>
                </c:pt>
                <c:pt idx="113">
                  <c:v>8.14</c:v>
                </c:pt>
                <c:pt idx="114">
                  <c:v>8.06</c:v>
                </c:pt>
                <c:pt idx="115">
                  <c:v>8</c:v>
                </c:pt>
                <c:pt idx="116">
                  <c:v>7.82</c:v>
                </c:pt>
                <c:pt idx="117">
                  <c:v>7.74</c:v>
                </c:pt>
                <c:pt idx="118">
                  <c:v>7.79</c:v>
                </c:pt>
                <c:pt idx="119">
                  <c:v>7.73</c:v>
                </c:pt>
                <c:pt idx="120">
                  <c:v>7.78</c:v>
                </c:pt>
                <c:pt idx="121">
                  <c:v>8.02</c:v>
                </c:pt>
                <c:pt idx="122">
                  <c:v>8.0399999999999991</c:v>
                </c:pt>
                <c:pt idx="123">
                  <c:v>7.94</c:v>
                </c:pt>
                <c:pt idx="124">
                  <c:v>7.97</c:v>
                </c:pt>
                <c:pt idx="125">
                  <c:v>8.02</c:v>
                </c:pt>
                <c:pt idx="126">
                  <c:v>8.14</c:v>
                </c:pt>
                <c:pt idx="127">
                  <c:v>8.39</c:v>
                </c:pt>
                <c:pt idx="128">
                  <c:v>8.31</c:v>
                </c:pt>
                <c:pt idx="129">
                  <c:v>8.58</c:v>
                </c:pt>
                <c:pt idx="130">
                  <c:v>8.1</c:v>
                </c:pt>
                <c:pt idx="131">
                  <c:v>8.18</c:v>
                </c:pt>
                <c:pt idx="132">
                  <c:v>8.25</c:v>
                </c:pt>
                <c:pt idx="133">
                  <c:v>8.44</c:v>
                </c:pt>
                <c:pt idx="134">
                  <c:v>8.3800000000000008</c:v>
                </c:pt>
                <c:pt idx="135">
                  <c:v>8.43</c:v>
                </c:pt>
                <c:pt idx="136">
                  <c:v>8.4</c:v>
                </c:pt>
                <c:pt idx="137">
                  <c:v>8.11</c:v>
                </c:pt>
                <c:pt idx="138">
                  <c:v>8.0299999999999994</c:v>
                </c:pt>
                <c:pt idx="139">
                  <c:v>7.8</c:v>
                </c:pt>
                <c:pt idx="140">
                  <c:v>7.76</c:v>
                </c:pt>
                <c:pt idx="141">
                  <c:v>7.72</c:v>
                </c:pt>
                <c:pt idx="142">
                  <c:v>7.91</c:v>
                </c:pt>
                <c:pt idx="143">
                  <c:v>8.1</c:v>
                </c:pt>
                <c:pt idx="144">
                  <c:v>8.27</c:v>
                </c:pt>
                <c:pt idx="145">
                  <c:v>8.1</c:v>
                </c:pt>
                <c:pt idx="146">
                  <c:v>8.4</c:v>
                </c:pt>
                <c:pt idx="147">
                  <c:v>8.39</c:v>
                </c:pt>
                <c:pt idx="148">
                  <c:v>8.4499999999999993</c:v>
                </c:pt>
                <c:pt idx="149">
                  <c:v>8.4</c:v>
                </c:pt>
                <c:pt idx="150">
                  <c:v>8.52</c:v>
                </c:pt>
                <c:pt idx="151">
                  <c:v>8.17</c:v>
                </c:pt>
                <c:pt idx="152">
                  <c:v>8.11</c:v>
                </c:pt>
                <c:pt idx="153">
                  <c:v>8.09</c:v>
                </c:pt>
                <c:pt idx="154">
                  <c:v>8.3000000000000007</c:v>
                </c:pt>
                <c:pt idx="155">
                  <c:v>8.4700000000000006</c:v>
                </c:pt>
                <c:pt idx="156">
                  <c:v>8.19</c:v>
                </c:pt>
                <c:pt idx="157">
                  <c:v>8.19</c:v>
                </c:pt>
                <c:pt idx="158">
                  <c:v>8.16</c:v>
                </c:pt>
                <c:pt idx="159">
                  <c:v>8.16</c:v>
                </c:pt>
                <c:pt idx="160">
                  <c:v>8.3000000000000007</c:v>
                </c:pt>
                <c:pt idx="161">
                  <c:v>8.4</c:v>
                </c:pt>
                <c:pt idx="162">
                  <c:v>8.43</c:v>
                </c:pt>
                <c:pt idx="163">
                  <c:v>8.48</c:v>
                </c:pt>
                <c:pt idx="164">
                  <c:v>9.3000000000000007</c:v>
                </c:pt>
                <c:pt idx="165">
                  <c:v>9.17</c:v>
                </c:pt>
                <c:pt idx="166">
                  <c:v>8.85</c:v>
                </c:pt>
                <c:pt idx="167">
                  <c:v>8.69</c:v>
                </c:pt>
                <c:pt idx="168">
                  <c:v>8.86</c:v>
                </c:pt>
                <c:pt idx="169">
                  <c:v>8.94</c:v>
                </c:pt>
                <c:pt idx="170">
                  <c:v>8.6999999999999993</c:v>
                </c:pt>
                <c:pt idx="171">
                  <c:v>8.4499999999999993</c:v>
                </c:pt>
                <c:pt idx="172">
                  <c:v>8.36</c:v>
                </c:pt>
                <c:pt idx="173">
                  <c:v>8.4</c:v>
                </c:pt>
                <c:pt idx="174">
                  <c:v>8.14</c:v>
                </c:pt>
                <c:pt idx="175">
                  <c:v>7.93</c:v>
                </c:pt>
                <c:pt idx="176">
                  <c:v>8.02</c:v>
                </c:pt>
                <c:pt idx="177">
                  <c:v>7.55</c:v>
                </c:pt>
                <c:pt idx="178">
                  <c:v>7.42</c:v>
                </c:pt>
                <c:pt idx="179">
                  <c:v>7.4</c:v>
                </c:pt>
                <c:pt idx="180">
                  <c:v>7.4</c:v>
                </c:pt>
                <c:pt idx="181">
                  <c:v>7.65</c:v>
                </c:pt>
                <c:pt idx="182">
                  <c:v>7.9</c:v>
                </c:pt>
                <c:pt idx="183">
                  <c:v>7.49</c:v>
                </c:pt>
                <c:pt idx="184">
                  <c:v>7.5</c:v>
                </c:pt>
                <c:pt idx="185">
                  <c:v>7.53</c:v>
                </c:pt>
                <c:pt idx="186">
                  <c:v>7.59</c:v>
                </c:pt>
                <c:pt idx="187">
                  <c:v>7.95</c:v>
                </c:pt>
                <c:pt idx="188">
                  <c:v>8.0399999999999991</c:v>
                </c:pt>
                <c:pt idx="189">
                  <c:v>8</c:v>
                </c:pt>
                <c:pt idx="190">
                  <c:v>8.1199999999999992</c:v>
                </c:pt>
                <c:pt idx="191">
                  <c:v>7.72</c:v>
                </c:pt>
                <c:pt idx="192">
                  <c:v>7.46</c:v>
                </c:pt>
                <c:pt idx="193">
                  <c:v>7.4</c:v>
                </c:pt>
                <c:pt idx="194">
                  <c:v>7.53</c:v>
                </c:pt>
                <c:pt idx="195">
                  <c:v>7.2</c:v>
                </c:pt>
                <c:pt idx="196">
                  <c:v>6.95</c:v>
                </c:pt>
                <c:pt idx="197">
                  <c:v>6.91</c:v>
                </c:pt>
                <c:pt idx="198">
                  <c:v>6.86</c:v>
                </c:pt>
                <c:pt idx="199">
                  <c:v>7.45</c:v>
                </c:pt>
                <c:pt idx="200">
                  <c:v>7.2</c:v>
                </c:pt>
                <c:pt idx="201">
                  <c:v>7.34</c:v>
                </c:pt>
                <c:pt idx="202">
                  <c:v>7.46</c:v>
                </c:pt>
                <c:pt idx="203">
                  <c:v>7.5</c:v>
                </c:pt>
                <c:pt idx="204">
                  <c:v>7.45</c:v>
                </c:pt>
                <c:pt idx="205">
                  <c:v>7.34</c:v>
                </c:pt>
                <c:pt idx="206">
                  <c:v>7.76</c:v>
                </c:pt>
                <c:pt idx="207">
                  <c:v>7.65</c:v>
                </c:pt>
                <c:pt idx="208">
                  <c:v>7.65</c:v>
                </c:pt>
                <c:pt idx="209">
                  <c:v>7.87</c:v>
                </c:pt>
                <c:pt idx="210">
                  <c:v>7.74</c:v>
                </c:pt>
                <c:pt idx="211">
                  <c:v>7.65</c:v>
                </c:pt>
                <c:pt idx="212">
                  <c:v>7.81</c:v>
                </c:pt>
                <c:pt idx="213">
                  <c:v>7.67</c:v>
                </c:pt>
                <c:pt idx="214">
                  <c:v>7.79</c:v>
                </c:pt>
                <c:pt idx="215">
                  <c:v>7.86</c:v>
                </c:pt>
                <c:pt idx="216">
                  <c:v>7.9</c:v>
                </c:pt>
                <c:pt idx="217">
                  <c:v>7.94</c:v>
                </c:pt>
                <c:pt idx="218">
                  <c:v>8.17</c:v>
                </c:pt>
                <c:pt idx="219">
                  <c:v>8.64</c:v>
                </c:pt>
                <c:pt idx="220">
                  <c:v>8.2899999999999991</c:v>
                </c:pt>
                <c:pt idx="221">
                  <c:v>8.4</c:v>
                </c:pt>
                <c:pt idx="222">
                  <c:v>8.35</c:v>
                </c:pt>
                <c:pt idx="223">
                  <c:v>8.16</c:v>
                </c:pt>
                <c:pt idx="224">
                  <c:v>8.18</c:v>
                </c:pt>
                <c:pt idx="225">
                  <c:v>7.71</c:v>
                </c:pt>
                <c:pt idx="226">
                  <c:v>7.61</c:v>
                </c:pt>
                <c:pt idx="227">
                  <c:v>7.65</c:v>
                </c:pt>
                <c:pt idx="228">
                  <c:v>7.42</c:v>
                </c:pt>
                <c:pt idx="229">
                  <c:v>7.28</c:v>
                </c:pt>
                <c:pt idx="230">
                  <c:v>7.49</c:v>
                </c:pt>
                <c:pt idx="231">
                  <c:v>7.51</c:v>
                </c:pt>
                <c:pt idx="232">
                  <c:v>7.77</c:v>
                </c:pt>
                <c:pt idx="233">
                  <c:v>7.58</c:v>
                </c:pt>
                <c:pt idx="234">
                  <c:v>7.6</c:v>
                </c:pt>
                <c:pt idx="235">
                  <c:v>7.88</c:v>
                </c:pt>
                <c:pt idx="236">
                  <c:v>7.85</c:v>
                </c:pt>
                <c:pt idx="237">
                  <c:v>7.85</c:v>
                </c:pt>
                <c:pt idx="238">
                  <c:v>7.84</c:v>
                </c:pt>
                <c:pt idx="239">
                  <c:v>7.76</c:v>
                </c:pt>
                <c:pt idx="240">
                  <c:v>7.58</c:v>
                </c:pt>
                <c:pt idx="241">
                  <c:v>7.4</c:v>
                </c:pt>
                <c:pt idx="242">
                  <c:v>7.46</c:v>
                </c:pt>
                <c:pt idx="243">
                  <c:v>7.78</c:v>
                </c:pt>
                <c:pt idx="244">
                  <c:v>7.59</c:v>
                </c:pt>
                <c:pt idx="245">
                  <c:v>7.43</c:v>
                </c:pt>
                <c:pt idx="246">
                  <c:v>7.38</c:v>
                </c:pt>
                <c:pt idx="247">
                  <c:v>7.36</c:v>
                </c:pt>
                <c:pt idx="248">
                  <c:v>7.27</c:v>
                </c:pt>
                <c:pt idx="249">
                  <c:v>7.35</c:v>
                </c:pt>
                <c:pt idx="250">
                  <c:v>7.44</c:v>
                </c:pt>
                <c:pt idx="251">
                  <c:v>7.61</c:v>
                </c:pt>
                <c:pt idx="252">
                  <c:v>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8-467F-97D1-4107B1206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773304"/>
        <c:axId val="68276862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'Dividend Yield'!$C$1</c15:sqref>
                        </c15:formulaRef>
                      </c:ext>
                    </c:extLst>
                    <c:strCache>
                      <c:ptCount val="1"/>
                      <c:pt idx="0">
                        <c:v>Dividend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'Dividend Yield'!$A$2:$A$254</c15:sqref>
                        </c15:formulaRef>
                      </c:ext>
                    </c:extLst>
                    <c:numCache>
                      <c:formatCode>m/d/yyyy</c:formatCode>
                      <c:ptCount val="253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45481</c:v>
                      </c:pt>
                      <c:pt idx="6">
                        <c:v>45482</c:v>
                      </c:pt>
                      <c:pt idx="7">
                        <c:v>45483</c:v>
                      </c:pt>
                      <c:pt idx="8">
                        <c:v>45484</c:v>
                      </c:pt>
                      <c:pt idx="9">
                        <c:v>45485</c:v>
                      </c:pt>
                      <c:pt idx="10">
                        <c:v>45488</c:v>
                      </c:pt>
                      <c:pt idx="11">
                        <c:v>45489</c:v>
                      </c:pt>
                      <c:pt idx="12">
                        <c:v>45490</c:v>
                      </c:pt>
                      <c:pt idx="13">
                        <c:v>45491</c:v>
                      </c:pt>
                      <c:pt idx="14">
                        <c:v>45492</c:v>
                      </c:pt>
                      <c:pt idx="15">
                        <c:v>45495</c:v>
                      </c:pt>
                      <c:pt idx="16">
                        <c:v>45496</c:v>
                      </c:pt>
                      <c:pt idx="17">
                        <c:v>45497</c:v>
                      </c:pt>
                      <c:pt idx="18">
                        <c:v>45498</c:v>
                      </c:pt>
                      <c:pt idx="19">
                        <c:v>45499</c:v>
                      </c:pt>
                      <c:pt idx="20">
                        <c:v>45502</c:v>
                      </c:pt>
                      <c:pt idx="21">
                        <c:v>45503</c:v>
                      </c:pt>
                      <c:pt idx="22">
                        <c:v>45504</c:v>
                      </c:pt>
                      <c:pt idx="23">
                        <c:v>45505</c:v>
                      </c:pt>
                      <c:pt idx="24">
                        <c:v>45506</c:v>
                      </c:pt>
                      <c:pt idx="25">
                        <c:v>45509</c:v>
                      </c:pt>
                      <c:pt idx="26">
                        <c:v>45510</c:v>
                      </c:pt>
                      <c:pt idx="27">
                        <c:v>45511</c:v>
                      </c:pt>
                      <c:pt idx="28">
                        <c:v>45512</c:v>
                      </c:pt>
                      <c:pt idx="29">
                        <c:v>45513</c:v>
                      </c:pt>
                      <c:pt idx="30">
                        <c:v>45516</c:v>
                      </c:pt>
                      <c:pt idx="31">
                        <c:v>45517</c:v>
                      </c:pt>
                      <c:pt idx="32">
                        <c:v>45518</c:v>
                      </c:pt>
                      <c:pt idx="33">
                        <c:v>45519</c:v>
                      </c:pt>
                      <c:pt idx="34">
                        <c:v>45520</c:v>
                      </c:pt>
                      <c:pt idx="35">
                        <c:v>45523</c:v>
                      </c:pt>
                      <c:pt idx="36">
                        <c:v>45524</c:v>
                      </c:pt>
                      <c:pt idx="37">
                        <c:v>45525</c:v>
                      </c:pt>
                      <c:pt idx="38">
                        <c:v>45526</c:v>
                      </c:pt>
                      <c:pt idx="39">
                        <c:v>45527</c:v>
                      </c:pt>
                      <c:pt idx="40">
                        <c:v>45530</c:v>
                      </c:pt>
                      <c:pt idx="41">
                        <c:v>45531</c:v>
                      </c:pt>
                      <c:pt idx="42">
                        <c:v>45532</c:v>
                      </c:pt>
                      <c:pt idx="43">
                        <c:v>45533</c:v>
                      </c:pt>
                      <c:pt idx="44">
                        <c:v>45534</c:v>
                      </c:pt>
                      <c:pt idx="45">
                        <c:v>45537</c:v>
                      </c:pt>
                      <c:pt idx="46">
                        <c:v>45538</c:v>
                      </c:pt>
                      <c:pt idx="47">
                        <c:v>45539</c:v>
                      </c:pt>
                      <c:pt idx="48">
                        <c:v>45540</c:v>
                      </c:pt>
                      <c:pt idx="49">
                        <c:v>45541</c:v>
                      </c:pt>
                      <c:pt idx="50">
                        <c:v>45544</c:v>
                      </c:pt>
                      <c:pt idx="51">
                        <c:v>45545</c:v>
                      </c:pt>
                      <c:pt idx="52">
                        <c:v>45546</c:v>
                      </c:pt>
                      <c:pt idx="53">
                        <c:v>45547</c:v>
                      </c:pt>
                      <c:pt idx="54">
                        <c:v>45548</c:v>
                      </c:pt>
                      <c:pt idx="55">
                        <c:v>45551</c:v>
                      </c:pt>
                      <c:pt idx="56">
                        <c:v>45552</c:v>
                      </c:pt>
                      <c:pt idx="57">
                        <c:v>45553</c:v>
                      </c:pt>
                      <c:pt idx="58">
                        <c:v>45554</c:v>
                      </c:pt>
                      <c:pt idx="59">
                        <c:v>45555</c:v>
                      </c:pt>
                      <c:pt idx="60">
                        <c:v>45558</c:v>
                      </c:pt>
                      <c:pt idx="61">
                        <c:v>45559</c:v>
                      </c:pt>
                      <c:pt idx="62">
                        <c:v>45560</c:v>
                      </c:pt>
                      <c:pt idx="63">
                        <c:v>45561</c:v>
                      </c:pt>
                      <c:pt idx="64">
                        <c:v>45562</c:v>
                      </c:pt>
                      <c:pt idx="65">
                        <c:v>45565</c:v>
                      </c:pt>
                      <c:pt idx="66">
                        <c:v>45566</c:v>
                      </c:pt>
                      <c:pt idx="67">
                        <c:v>45567</c:v>
                      </c:pt>
                      <c:pt idx="68">
                        <c:v>45568</c:v>
                      </c:pt>
                      <c:pt idx="69">
                        <c:v>45569</c:v>
                      </c:pt>
                      <c:pt idx="70">
                        <c:v>45572</c:v>
                      </c:pt>
                      <c:pt idx="71">
                        <c:v>45573</c:v>
                      </c:pt>
                      <c:pt idx="72">
                        <c:v>45574</c:v>
                      </c:pt>
                      <c:pt idx="73">
                        <c:v>45575</c:v>
                      </c:pt>
                      <c:pt idx="74">
                        <c:v>45576</c:v>
                      </c:pt>
                      <c:pt idx="75">
                        <c:v>45579</c:v>
                      </c:pt>
                      <c:pt idx="76">
                        <c:v>45580</c:v>
                      </c:pt>
                      <c:pt idx="77">
                        <c:v>45581</c:v>
                      </c:pt>
                      <c:pt idx="78">
                        <c:v>45582</c:v>
                      </c:pt>
                      <c:pt idx="79">
                        <c:v>45583</c:v>
                      </c:pt>
                      <c:pt idx="80">
                        <c:v>45586</c:v>
                      </c:pt>
                      <c:pt idx="81">
                        <c:v>45587</c:v>
                      </c:pt>
                      <c:pt idx="82">
                        <c:v>45588</c:v>
                      </c:pt>
                      <c:pt idx="83">
                        <c:v>45589</c:v>
                      </c:pt>
                      <c:pt idx="84">
                        <c:v>45590</c:v>
                      </c:pt>
                      <c:pt idx="85">
                        <c:v>45593</c:v>
                      </c:pt>
                      <c:pt idx="86">
                        <c:v>45594</c:v>
                      </c:pt>
                      <c:pt idx="87">
                        <c:v>45595</c:v>
                      </c:pt>
                      <c:pt idx="88">
                        <c:v>45596</c:v>
                      </c:pt>
                      <c:pt idx="89">
                        <c:v>45597</c:v>
                      </c:pt>
                      <c:pt idx="90">
                        <c:v>45600</c:v>
                      </c:pt>
                      <c:pt idx="91">
                        <c:v>45601</c:v>
                      </c:pt>
                      <c:pt idx="92">
                        <c:v>45602</c:v>
                      </c:pt>
                      <c:pt idx="93">
                        <c:v>45603</c:v>
                      </c:pt>
                      <c:pt idx="94">
                        <c:v>45604</c:v>
                      </c:pt>
                      <c:pt idx="95">
                        <c:v>45607</c:v>
                      </c:pt>
                      <c:pt idx="96">
                        <c:v>45608</c:v>
                      </c:pt>
                      <c:pt idx="97">
                        <c:v>45609</c:v>
                      </c:pt>
                      <c:pt idx="98">
                        <c:v>45610</c:v>
                      </c:pt>
                      <c:pt idx="99">
                        <c:v>45611</c:v>
                      </c:pt>
                      <c:pt idx="100">
                        <c:v>45614</c:v>
                      </c:pt>
                      <c:pt idx="101">
                        <c:v>45615</c:v>
                      </c:pt>
                      <c:pt idx="102">
                        <c:v>45616</c:v>
                      </c:pt>
                      <c:pt idx="103">
                        <c:v>45617</c:v>
                      </c:pt>
                      <c:pt idx="104">
                        <c:v>45618</c:v>
                      </c:pt>
                      <c:pt idx="105">
                        <c:v>45621</c:v>
                      </c:pt>
                      <c:pt idx="106">
                        <c:v>45622</c:v>
                      </c:pt>
                      <c:pt idx="107">
                        <c:v>45623</c:v>
                      </c:pt>
                      <c:pt idx="108">
                        <c:v>45624</c:v>
                      </c:pt>
                      <c:pt idx="109">
                        <c:v>45625</c:v>
                      </c:pt>
                      <c:pt idx="110">
                        <c:v>45628</c:v>
                      </c:pt>
                      <c:pt idx="111">
                        <c:v>45629</c:v>
                      </c:pt>
                      <c:pt idx="112">
                        <c:v>45630</c:v>
                      </c:pt>
                      <c:pt idx="113">
                        <c:v>45631</c:v>
                      </c:pt>
                      <c:pt idx="114">
                        <c:v>45632</c:v>
                      </c:pt>
                      <c:pt idx="115">
                        <c:v>45635</c:v>
                      </c:pt>
                      <c:pt idx="116">
                        <c:v>45636</c:v>
                      </c:pt>
                      <c:pt idx="117">
                        <c:v>45637</c:v>
                      </c:pt>
                      <c:pt idx="118">
                        <c:v>45638</c:v>
                      </c:pt>
                      <c:pt idx="119">
                        <c:v>45639</c:v>
                      </c:pt>
                      <c:pt idx="120">
                        <c:v>45642</c:v>
                      </c:pt>
                      <c:pt idx="121">
                        <c:v>45643</c:v>
                      </c:pt>
                      <c:pt idx="122">
                        <c:v>45644</c:v>
                      </c:pt>
                      <c:pt idx="123">
                        <c:v>45645</c:v>
                      </c:pt>
                      <c:pt idx="124">
                        <c:v>45646</c:v>
                      </c:pt>
                      <c:pt idx="125">
                        <c:v>45649</c:v>
                      </c:pt>
                      <c:pt idx="126">
                        <c:v>45650</c:v>
                      </c:pt>
                      <c:pt idx="127">
                        <c:v>45653</c:v>
                      </c:pt>
                      <c:pt idx="128">
                        <c:v>45656</c:v>
                      </c:pt>
                      <c:pt idx="129">
                        <c:v>45657</c:v>
                      </c:pt>
                      <c:pt idx="130">
                        <c:v>45659</c:v>
                      </c:pt>
                      <c:pt idx="131">
                        <c:v>45660</c:v>
                      </c:pt>
                      <c:pt idx="132">
                        <c:v>45663</c:v>
                      </c:pt>
                      <c:pt idx="133">
                        <c:v>45664</c:v>
                      </c:pt>
                      <c:pt idx="134">
                        <c:v>45665</c:v>
                      </c:pt>
                      <c:pt idx="135">
                        <c:v>45666</c:v>
                      </c:pt>
                      <c:pt idx="136">
                        <c:v>45667</c:v>
                      </c:pt>
                      <c:pt idx="137">
                        <c:v>45670</c:v>
                      </c:pt>
                      <c:pt idx="138">
                        <c:v>45671</c:v>
                      </c:pt>
                      <c:pt idx="139">
                        <c:v>45672</c:v>
                      </c:pt>
                      <c:pt idx="140">
                        <c:v>45673</c:v>
                      </c:pt>
                      <c:pt idx="141">
                        <c:v>45674</c:v>
                      </c:pt>
                      <c:pt idx="142">
                        <c:v>45677</c:v>
                      </c:pt>
                      <c:pt idx="143">
                        <c:v>45678</c:v>
                      </c:pt>
                      <c:pt idx="144">
                        <c:v>45679</c:v>
                      </c:pt>
                      <c:pt idx="145">
                        <c:v>45680</c:v>
                      </c:pt>
                      <c:pt idx="146">
                        <c:v>45681</c:v>
                      </c:pt>
                      <c:pt idx="147">
                        <c:v>45685</c:v>
                      </c:pt>
                      <c:pt idx="148">
                        <c:v>45686</c:v>
                      </c:pt>
                      <c:pt idx="149">
                        <c:v>45687</c:v>
                      </c:pt>
                      <c:pt idx="150">
                        <c:v>45688</c:v>
                      </c:pt>
                      <c:pt idx="151">
                        <c:v>45691</c:v>
                      </c:pt>
                      <c:pt idx="152">
                        <c:v>45692</c:v>
                      </c:pt>
                      <c:pt idx="153">
                        <c:v>45693</c:v>
                      </c:pt>
                      <c:pt idx="154">
                        <c:v>45694</c:v>
                      </c:pt>
                      <c:pt idx="155">
                        <c:v>45695</c:v>
                      </c:pt>
                      <c:pt idx="156">
                        <c:v>45698</c:v>
                      </c:pt>
                      <c:pt idx="157">
                        <c:v>45699</c:v>
                      </c:pt>
                      <c:pt idx="158">
                        <c:v>45700</c:v>
                      </c:pt>
                      <c:pt idx="159">
                        <c:v>45701</c:v>
                      </c:pt>
                      <c:pt idx="160">
                        <c:v>45702</c:v>
                      </c:pt>
                      <c:pt idx="161">
                        <c:v>45705</c:v>
                      </c:pt>
                      <c:pt idx="162">
                        <c:v>45706</c:v>
                      </c:pt>
                      <c:pt idx="163">
                        <c:v>45707</c:v>
                      </c:pt>
                      <c:pt idx="164">
                        <c:v>45708</c:v>
                      </c:pt>
                      <c:pt idx="165">
                        <c:v>45709</c:v>
                      </c:pt>
                      <c:pt idx="166">
                        <c:v>45712</c:v>
                      </c:pt>
                      <c:pt idx="167">
                        <c:v>45713</c:v>
                      </c:pt>
                      <c:pt idx="168">
                        <c:v>45714</c:v>
                      </c:pt>
                      <c:pt idx="169">
                        <c:v>45715</c:v>
                      </c:pt>
                      <c:pt idx="170">
                        <c:v>45716</c:v>
                      </c:pt>
                      <c:pt idx="171">
                        <c:v>45719</c:v>
                      </c:pt>
                      <c:pt idx="172">
                        <c:v>45720</c:v>
                      </c:pt>
                      <c:pt idx="173">
                        <c:v>45721</c:v>
                      </c:pt>
                      <c:pt idx="174">
                        <c:v>45722</c:v>
                      </c:pt>
                      <c:pt idx="175">
                        <c:v>45723</c:v>
                      </c:pt>
                      <c:pt idx="176">
                        <c:v>45726</c:v>
                      </c:pt>
                      <c:pt idx="177">
                        <c:v>45727</c:v>
                      </c:pt>
                      <c:pt idx="178">
                        <c:v>45728</c:v>
                      </c:pt>
                      <c:pt idx="179">
                        <c:v>45729</c:v>
                      </c:pt>
                      <c:pt idx="180">
                        <c:v>45730</c:v>
                      </c:pt>
                      <c:pt idx="181">
                        <c:v>45733</c:v>
                      </c:pt>
                      <c:pt idx="182">
                        <c:v>45734</c:v>
                      </c:pt>
                      <c:pt idx="183">
                        <c:v>45735</c:v>
                      </c:pt>
                      <c:pt idx="184">
                        <c:v>45736</c:v>
                      </c:pt>
                      <c:pt idx="185">
                        <c:v>45737</c:v>
                      </c:pt>
                      <c:pt idx="186">
                        <c:v>45740</c:v>
                      </c:pt>
                      <c:pt idx="187">
                        <c:v>45741</c:v>
                      </c:pt>
                      <c:pt idx="188">
                        <c:v>45742</c:v>
                      </c:pt>
                      <c:pt idx="189">
                        <c:v>45743</c:v>
                      </c:pt>
                      <c:pt idx="190">
                        <c:v>45744</c:v>
                      </c:pt>
                      <c:pt idx="191">
                        <c:v>45747</c:v>
                      </c:pt>
                      <c:pt idx="192">
                        <c:v>45748</c:v>
                      </c:pt>
                      <c:pt idx="193">
                        <c:v>45749</c:v>
                      </c:pt>
                      <c:pt idx="194">
                        <c:v>45750</c:v>
                      </c:pt>
                      <c:pt idx="195">
                        <c:v>45751</c:v>
                      </c:pt>
                      <c:pt idx="196">
                        <c:v>45754</c:v>
                      </c:pt>
                      <c:pt idx="197">
                        <c:v>45755</c:v>
                      </c:pt>
                      <c:pt idx="198">
                        <c:v>45756</c:v>
                      </c:pt>
                      <c:pt idx="199">
                        <c:v>45757</c:v>
                      </c:pt>
                      <c:pt idx="200">
                        <c:v>45758</c:v>
                      </c:pt>
                      <c:pt idx="201">
                        <c:v>45761</c:v>
                      </c:pt>
                      <c:pt idx="202">
                        <c:v>45762</c:v>
                      </c:pt>
                      <c:pt idx="203">
                        <c:v>45763</c:v>
                      </c:pt>
                      <c:pt idx="204">
                        <c:v>45764</c:v>
                      </c:pt>
                      <c:pt idx="205">
                        <c:v>45769</c:v>
                      </c:pt>
                      <c:pt idx="206">
                        <c:v>45770</c:v>
                      </c:pt>
                      <c:pt idx="207">
                        <c:v>45771</c:v>
                      </c:pt>
                      <c:pt idx="208">
                        <c:v>45775</c:v>
                      </c:pt>
                      <c:pt idx="209">
                        <c:v>45776</c:v>
                      </c:pt>
                      <c:pt idx="210">
                        <c:v>45777</c:v>
                      </c:pt>
                      <c:pt idx="211">
                        <c:v>45778</c:v>
                      </c:pt>
                      <c:pt idx="212">
                        <c:v>45779</c:v>
                      </c:pt>
                      <c:pt idx="213">
                        <c:v>45782</c:v>
                      </c:pt>
                      <c:pt idx="214">
                        <c:v>45783</c:v>
                      </c:pt>
                      <c:pt idx="215">
                        <c:v>45784</c:v>
                      </c:pt>
                      <c:pt idx="216">
                        <c:v>45785</c:v>
                      </c:pt>
                      <c:pt idx="217">
                        <c:v>45786</c:v>
                      </c:pt>
                      <c:pt idx="218">
                        <c:v>45789</c:v>
                      </c:pt>
                      <c:pt idx="219">
                        <c:v>45790</c:v>
                      </c:pt>
                      <c:pt idx="220">
                        <c:v>45791</c:v>
                      </c:pt>
                      <c:pt idx="221">
                        <c:v>45792</c:v>
                      </c:pt>
                      <c:pt idx="222">
                        <c:v>45793</c:v>
                      </c:pt>
                      <c:pt idx="223">
                        <c:v>45796</c:v>
                      </c:pt>
                      <c:pt idx="224">
                        <c:v>45797</c:v>
                      </c:pt>
                      <c:pt idx="225">
                        <c:v>45798</c:v>
                      </c:pt>
                      <c:pt idx="226">
                        <c:v>45799</c:v>
                      </c:pt>
                      <c:pt idx="227">
                        <c:v>45800</c:v>
                      </c:pt>
                      <c:pt idx="228">
                        <c:v>45803</c:v>
                      </c:pt>
                      <c:pt idx="229">
                        <c:v>45804</c:v>
                      </c:pt>
                      <c:pt idx="230">
                        <c:v>45805</c:v>
                      </c:pt>
                      <c:pt idx="231">
                        <c:v>45806</c:v>
                      </c:pt>
                      <c:pt idx="232">
                        <c:v>45807</c:v>
                      </c:pt>
                      <c:pt idx="233">
                        <c:v>45810</c:v>
                      </c:pt>
                      <c:pt idx="234">
                        <c:v>45811</c:v>
                      </c:pt>
                      <c:pt idx="235">
                        <c:v>45812</c:v>
                      </c:pt>
                      <c:pt idx="236">
                        <c:v>45813</c:v>
                      </c:pt>
                      <c:pt idx="237">
                        <c:v>45814</c:v>
                      </c:pt>
                      <c:pt idx="238">
                        <c:v>45818</c:v>
                      </c:pt>
                      <c:pt idx="239">
                        <c:v>45819</c:v>
                      </c:pt>
                      <c:pt idx="240">
                        <c:v>45820</c:v>
                      </c:pt>
                      <c:pt idx="241">
                        <c:v>45821</c:v>
                      </c:pt>
                      <c:pt idx="242">
                        <c:v>45824</c:v>
                      </c:pt>
                      <c:pt idx="243">
                        <c:v>45825</c:v>
                      </c:pt>
                      <c:pt idx="244">
                        <c:v>45826</c:v>
                      </c:pt>
                      <c:pt idx="245">
                        <c:v>45827</c:v>
                      </c:pt>
                      <c:pt idx="246">
                        <c:v>45828</c:v>
                      </c:pt>
                      <c:pt idx="247">
                        <c:v>45831</c:v>
                      </c:pt>
                      <c:pt idx="248">
                        <c:v>45832</c:v>
                      </c:pt>
                      <c:pt idx="249">
                        <c:v>45833</c:v>
                      </c:pt>
                      <c:pt idx="250">
                        <c:v>45834</c:v>
                      </c:pt>
                      <c:pt idx="251">
                        <c:v>45835</c:v>
                      </c:pt>
                      <c:pt idx="252">
                        <c:v>45838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'Dividend Yield'!$C$2:$C$254</c15:sqref>
                        </c15:formulaRef>
                      </c:ext>
                    </c:extLst>
                    <c:numCache>
                      <c:formatCode>General</c:formatCode>
                      <c:ptCount val="253"/>
                      <c:pt idx="0">
                        <c:v>0.57499999999999996</c:v>
                      </c:pt>
                      <c:pt idx="1">
                        <c:v>0.57499999999999996</c:v>
                      </c:pt>
                      <c:pt idx="2">
                        <c:v>0.57499999999999996</c:v>
                      </c:pt>
                      <c:pt idx="3">
                        <c:v>0.57499999999999996</c:v>
                      </c:pt>
                      <c:pt idx="4">
                        <c:v>0.57499999999999996</c:v>
                      </c:pt>
                      <c:pt idx="5">
                        <c:v>0.57499999999999996</c:v>
                      </c:pt>
                      <c:pt idx="6">
                        <c:v>0.57499999999999996</c:v>
                      </c:pt>
                      <c:pt idx="7">
                        <c:v>0.57499999999999996</c:v>
                      </c:pt>
                      <c:pt idx="8">
                        <c:v>0.57499999999999996</c:v>
                      </c:pt>
                      <c:pt idx="9">
                        <c:v>0.57499999999999996</c:v>
                      </c:pt>
                      <c:pt idx="10">
                        <c:v>0.57499999999999996</c:v>
                      </c:pt>
                      <c:pt idx="11">
                        <c:v>0.57499999999999996</c:v>
                      </c:pt>
                      <c:pt idx="12">
                        <c:v>0.57499999999999996</c:v>
                      </c:pt>
                      <c:pt idx="13">
                        <c:v>0.57499999999999996</c:v>
                      </c:pt>
                      <c:pt idx="14">
                        <c:v>0.57499999999999996</c:v>
                      </c:pt>
                      <c:pt idx="15">
                        <c:v>0.57499999999999996</c:v>
                      </c:pt>
                      <c:pt idx="16">
                        <c:v>0.57499999999999996</c:v>
                      </c:pt>
                      <c:pt idx="17">
                        <c:v>0.57499999999999996</c:v>
                      </c:pt>
                      <c:pt idx="18">
                        <c:v>0.57499999999999996</c:v>
                      </c:pt>
                      <c:pt idx="19">
                        <c:v>0.57499999999999996</c:v>
                      </c:pt>
                      <c:pt idx="20">
                        <c:v>0.57499999999999996</c:v>
                      </c:pt>
                      <c:pt idx="21">
                        <c:v>0.57499999999999996</c:v>
                      </c:pt>
                      <c:pt idx="22">
                        <c:v>0.57499999999999996</c:v>
                      </c:pt>
                      <c:pt idx="23">
                        <c:v>0.57499999999999996</c:v>
                      </c:pt>
                      <c:pt idx="24">
                        <c:v>0.57499999999999996</c:v>
                      </c:pt>
                      <c:pt idx="25">
                        <c:v>0.57499999999999996</c:v>
                      </c:pt>
                      <c:pt idx="26">
                        <c:v>0.57499999999999996</c:v>
                      </c:pt>
                      <c:pt idx="27">
                        <c:v>0.57499999999999996</c:v>
                      </c:pt>
                      <c:pt idx="28">
                        <c:v>0.57499999999999996</c:v>
                      </c:pt>
                      <c:pt idx="29">
                        <c:v>0.57499999999999996</c:v>
                      </c:pt>
                      <c:pt idx="30">
                        <c:v>0.57499999999999996</c:v>
                      </c:pt>
                      <c:pt idx="31">
                        <c:v>0.57499999999999996</c:v>
                      </c:pt>
                      <c:pt idx="32">
                        <c:v>0.57499999999999996</c:v>
                      </c:pt>
                      <c:pt idx="33">
                        <c:v>0.57499999999999996</c:v>
                      </c:pt>
                      <c:pt idx="34">
                        <c:v>0.57499999999999996</c:v>
                      </c:pt>
                      <c:pt idx="35">
                        <c:v>0.57499999999999996</c:v>
                      </c:pt>
                      <c:pt idx="36">
                        <c:v>0.57499999999999996</c:v>
                      </c:pt>
                      <c:pt idx="37">
                        <c:v>0.57499999999999996</c:v>
                      </c:pt>
                      <c:pt idx="38">
                        <c:v>0.57499999999999996</c:v>
                      </c:pt>
                      <c:pt idx="39">
                        <c:v>0.57499999999999996</c:v>
                      </c:pt>
                      <c:pt idx="40">
                        <c:v>0.57499999999999996</c:v>
                      </c:pt>
                      <c:pt idx="41">
                        <c:v>0.57499999999999996</c:v>
                      </c:pt>
                      <c:pt idx="42">
                        <c:v>0.57499999999999996</c:v>
                      </c:pt>
                      <c:pt idx="43">
                        <c:v>0.57499999999999996</c:v>
                      </c:pt>
                      <c:pt idx="44">
                        <c:v>0.57499999999999996</c:v>
                      </c:pt>
                      <c:pt idx="45">
                        <c:v>0.57499999999999996</c:v>
                      </c:pt>
                      <c:pt idx="46">
                        <c:v>0.57499999999999996</c:v>
                      </c:pt>
                      <c:pt idx="47">
                        <c:v>0.57499999999999996</c:v>
                      </c:pt>
                      <c:pt idx="48">
                        <c:v>0.57499999999999996</c:v>
                      </c:pt>
                      <c:pt idx="49">
                        <c:v>0.57499999999999996</c:v>
                      </c:pt>
                      <c:pt idx="50">
                        <c:v>0.57499999999999996</c:v>
                      </c:pt>
                      <c:pt idx="51">
                        <c:v>0.57499999999999996</c:v>
                      </c:pt>
                      <c:pt idx="52">
                        <c:v>0.57499999999999996</c:v>
                      </c:pt>
                      <c:pt idx="53">
                        <c:v>0.57499999999999996</c:v>
                      </c:pt>
                      <c:pt idx="54">
                        <c:v>0.57499999999999996</c:v>
                      </c:pt>
                      <c:pt idx="55">
                        <c:v>0.57499999999999996</c:v>
                      </c:pt>
                      <c:pt idx="56">
                        <c:v>0.57499999999999996</c:v>
                      </c:pt>
                      <c:pt idx="57">
                        <c:v>0.57499999999999996</c:v>
                      </c:pt>
                      <c:pt idx="58">
                        <c:v>0.57499999999999996</c:v>
                      </c:pt>
                      <c:pt idx="59">
                        <c:v>0.57499999999999996</c:v>
                      </c:pt>
                      <c:pt idx="60">
                        <c:v>0.57499999999999996</c:v>
                      </c:pt>
                      <c:pt idx="61">
                        <c:v>0.57499999999999996</c:v>
                      </c:pt>
                      <c:pt idx="62">
                        <c:v>0.57499999999999996</c:v>
                      </c:pt>
                      <c:pt idx="63">
                        <c:v>0.57499999999999996</c:v>
                      </c:pt>
                      <c:pt idx="64">
                        <c:v>0.57499999999999996</c:v>
                      </c:pt>
                      <c:pt idx="65">
                        <c:v>0.57499999999999996</c:v>
                      </c:pt>
                      <c:pt idx="66">
                        <c:v>0.57499999999999996</c:v>
                      </c:pt>
                      <c:pt idx="67">
                        <c:v>0.57499999999999996</c:v>
                      </c:pt>
                      <c:pt idx="68">
                        <c:v>0.57499999999999996</c:v>
                      </c:pt>
                      <c:pt idx="69">
                        <c:v>0.57499999999999996</c:v>
                      </c:pt>
                      <c:pt idx="70">
                        <c:v>0.57499999999999996</c:v>
                      </c:pt>
                      <c:pt idx="71">
                        <c:v>0.57499999999999996</c:v>
                      </c:pt>
                      <c:pt idx="72">
                        <c:v>0.57499999999999996</c:v>
                      </c:pt>
                      <c:pt idx="73">
                        <c:v>0.57499999999999996</c:v>
                      </c:pt>
                      <c:pt idx="74">
                        <c:v>0.57499999999999996</c:v>
                      </c:pt>
                      <c:pt idx="75">
                        <c:v>0.57499999999999996</c:v>
                      </c:pt>
                      <c:pt idx="76">
                        <c:v>0.57499999999999996</c:v>
                      </c:pt>
                      <c:pt idx="77">
                        <c:v>0.57499999999999996</c:v>
                      </c:pt>
                      <c:pt idx="78">
                        <c:v>0.57499999999999996</c:v>
                      </c:pt>
                      <c:pt idx="79">
                        <c:v>0.57499999999999996</c:v>
                      </c:pt>
                      <c:pt idx="80">
                        <c:v>0.57499999999999996</c:v>
                      </c:pt>
                      <c:pt idx="81">
                        <c:v>0.57499999999999996</c:v>
                      </c:pt>
                      <c:pt idx="82">
                        <c:v>0.57499999999999996</c:v>
                      </c:pt>
                      <c:pt idx="83">
                        <c:v>0.57499999999999996</c:v>
                      </c:pt>
                      <c:pt idx="84">
                        <c:v>0.57499999999999996</c:v>
                      </c:pt>
                      <c:pt idx="85">
                        <c:v>0.57499999999999996</c:v>
                      </c:pt>
                      <c:pt idx="86">
                        <c:v>0.57499999999999996</c:v>
                      </c:pt>
                      <c:pt idx="87">
                        <c:v>0.57499999999999996</c:v>
                      </c:pt>
                      <c:pt idx="88">
                        <c:v>0.57499999999999996</c:v>
                      </c:pt>
                      <c:pt idx="89">
                        <c:v>0.57499999999999996</c:v>
                      </c:pt>
                      <c:pt idx="90">
                        <c:v>0.57499999999999996</c:v>
                      </c:pt>
                      <c:pt idx="91">
                        <c:v>0.57499999999999996</c:v>
                      </c:pt>
                      <c:pt idx="92">
                        <c:v>0.57499999999999996</c:v>
                      </c:pt>
                      <c:pt idx="93">
                        <c:v>0.57499999999999996</c:v>
                      </c:pt>
                      <c:pt idx="94">
                        <c:v>0.57499999999999996</c:v>
                      </c:pt>
                      <c:pt idx="95">
                        <c:v>0.57499999999999996</c:v>
                      </c:pt>
                      <c:pt idx="96">
                        <c:v>0.57499999999999996</c:v>
                      </c:pt>
                      <c:pt idx="97">
                        <c:v>0.57499999999999996</c:v>
                      </c:pt>
                      <c:pt idx="98">
                        <c:v>0.57499999999999996</c:v>
                      </c:pt>
                      <c:pt idx="99">
                        <c:v>0.57499999999999996</c:v>
                      </c:pt>
                      <c:pt idx="100">
                        <c:v>0.57499999999999996</c:v>
                      </c:pt>
                      <c:pt idx="101">
                        <c:v>0.57499999999999996</c:v>
                      </c:pt>
                      <c:pt idx="102">
                        <c:v>0.57499999999999996</c:v>
                      </c:pt>
                      <c:pt idx="103">
                        <c:v>0.57499999999999996</c:v>
                      </c:pt>
                      <c:pt idx="104">
                        <c:v>0.57499999999999996</c:v>
                      </c:pt>
                      <c:pt idx="105">
                        <c:v>0.57499999999999996</c:v>
                      </c:pt>
                      <c:pt idx="106">
                        <c:v>0.57499999999999996</c:v>
                      </c:pt>
                      <c:pt idx="107">
                        <c:v>0.57499999999999996</c:v>
                      </c:pt>
                      <c:pt idx="108">
                        <c:v>0.57499999999999996</c:v>
                      </c:pt>
                      <c:pt idx="109">
                        <c:v>0.57499999999999996</c:v>
                      </c:pt>
                      <c:pt idx="110">
                        <c:v>0.57499999999999996</c:v>
                      </c:pt>
                      <c:pt idx="111">
                        <c:v>0.57499999999999996</c:v>
                      </c:pt>
                      <c:pt idx="112">
                        <c:v>0.57499999999999996</c:v>
                      </c:pt>
                      <c:pt idx="113">
                        <c:v>0.57499999999999996</c:v>
                      </c:pt>
                      <c:pt idx="114">
                        <c:v>0.57499999999999996</c:v>
                      </c:pt>
                      <c:pt idx="115">
                        <c:v>0.57499999999999996</c:v>
                      </c:pt>
                      <c:pt idx="116">
                        <c:v>0.57499999999999996</c:v>
                      </c:pt>
                      <c:pt idx="117">
                        <c:v>0.57499999999999996</c:v>
                      </c:pt>
                      <c:pt idx="118">
                        <c:v>0.57499999999999996</c:v>
                      </c:pt>
                      <c:pt idx="119">
                        <c:v>0.57499999999999996</c:v>
                      </c:pt>
                      <c:pt idx="120">
                        <c:v>0.57499999999999996</c:v>
                      </c:pt>
                      <c:pt idx="121">
                        <c:v>0.57499999999999996</c:v>
                      </c:pt>
                      <c:pt idx="122">
                        <c:v>0.57499999999999996</c:v>
                      </c:pt>
                      <c:pt idx="123">
                        <c:v>0.57499999999999996</c:v>
                      </c:pt>
                      <c:pt idx="124">
                        <c:v>0.57499999999999996</c:v>
                      </c:pt>
                      <c:pt idx="125">
                        <c:v>0.57499999999999996</c:v>
                      </c:pt>
                      <c:pt idx="126">
                        <c:v>0.57499999999999996</c:v>
                      </c:pt>
                      <c:pt idx="127">
                        <c:v>0.57499999999999996</c:v>
                      </c:pt>
                      <c:pt idx="128">
                        <c:v>0.57499999999999996</c:v>
                      </c:pt>
                      <c:pt idx="129">
                        <c:v>0.57499999999999996</c:v>
                      </c:pt>
                      <c:pt idx="130">
                        <c:v>0.57499999999999996</c:v>
                      </c:pt>
                      <c:pt idx="131">
                        <c:v>0.57499999999999996</c:v>
                      </c:pt>
                      <c:pt idx="132">
                        <c:v>0.57499999999999996</c:v>
                      </c:pt>
                      <c:pt idx="133">
                        <c:v>0.57499999999999996</c:v>
                      </c:pt>
                      <c:pt idx="134">
                        <c:v>0.57499999999999996</c:v>
                      </c:pt>
                      <c:pt idx="135">
                        <c:v>0.57499999999999996</c:v>
                      </c:pt>
                      <c:pt idx="136">
                        <c:v>0.57499999999999996</c:v>
                      </c:pt>
                      <c:pt idx="137">
                        <c:v>0.57499999999999996</c:v>
                      </c:pt>
                      <c:pt idx="138">
                        <c:v>0.57499999999999996</c:v>
                      </c:pt>
                      <c:pt idx="139">
                        <c:v>0.57499999999999996</c:v>
                      </c:pt>
                      <c:pt idx="140">
                        <c:v>0.57499999999999996</c:v>
                      </c:pt>
                      <c:pt idx="141">
                        <c:v>0.57499999999999996</c:v>
                      </c:pt>
                      <c:pt idx="142">
                        <c:v>0.57499999999999996</c:v>
                      </c:pt>
                      <c:pt idx="143">
                        <c:v>0.57499999999999996</c:v>
                      </c:pt>
                      <c:pt idx="144">
                        <c:v>0.57499999999999996</c:v>
                      </c:pt>
                      <c:pt idx="145">
                        <c:v>0.57499999999999996</c:v>
                      </c:pt>
                      <c:pt idx="146">
                        <c:v>0.57499999999999996</c:v>
                      </c:pt>
                      <c:pt idx="147">
                        <c:v>0.57499999999999996</c:v>
                      </c:pt>
                      <c:pt idx="148">
                        <c:v>0.57499999999999996</c:v>
                      </c:pt>
                      <c:pt idx="149">
                        <c:v>0.57499999999999996</c:v>
                      </c:pt>
                      <c:pt idx="150">
                        <c:v>0.57499999999999996</c:v>
                      </c:pt>
                      <c:pt idx="151">
                        <c:v>0.57499999999999996</c:v>
                      </c:pt>
                      <c:pt idx="152">
                        <c:v>0.57499999999999996</c:v>
                      </c:pt>
                      <c:pt idx="153">
                        <c:v>0.57499999999999996</c:v>
                      </c:pt>
                      <c:pt idx="154">
                        <c:v>0.57499999999999996</c:v>
                      </c:pt>
                      <c:pt idx="155">
                        <c:v>0.57499999999999996</c:v>
                      </c:pt>
                      <c:pt idx="156">
                        <c:v>0.57499999999999996</c:v>
                      </c:pt>
                      <c:pt idx="157">
                        <c:v>0.57499999999999996</c:v>
                      </c:pt>
                      <c:pt idx="158">
                        <c:v>0.57499999999999996</c:v>
                      </c:pt>
                      <c:pt idx="159">
                        <c:v>0.57499999999999996</c:v>
                      </c:pt>
                      <c:pt idx="160">
                        <c:v>0.57499999999999996</c:v>
                      </c:pt>
                      <c:pt idx="161">
                        <c:v>0.57499999999999996</c:v>
                      </c:pt>
                      <c:pt idx="162">
                        <c:v>0.57499999999999996</c:v>
                      </c:pt>
                      <c:pt idx="163">
                        <c:v>0.57499999999999996</c:v>
                      </c:pt>
                      <c:pt idx="164">
                        <c:v>0.57499999999999996</c:v>
                      </c:pt>
                      <c:pt idx="165">
                        <c:v>0.57499999999999996</c:v>
                      </c:pt>
                      <c:pt idx="166">
                        <c:v>0.57499999999999996</c:v>
                      </c:pt>
                      <c:pt idx="167">
                        <c:v>0.57499999999999996</c:v>
                      </c:pt>
                      <c:pt idx="168">
                        <c:v>0.57499999999999996</c:v>
                      </c:pt>
                      <c:pt idx="169">
                        <c:v>0.57499999999999996</c:v>
                      </c:pt>
                      <c:pt idx="170">
                        <c:v>0.57499999999999996</c:v>
                      </c:pt>
                      <c:pt idx="171">
                        <c:v>0.57499999999999996</c:v>
                      </c:pt>
                      <c:pt idx="172">
                        <c:v>0.57499999999999996</c:v>
                      </c:pt>
                      <c:pt idx="173">
                        <c:v>0.57499999999999996</c:v>
                      </c:pt>
                      <c:pt idx="174">
                        <c:v>0.57499999999999996</c:v>
                      </c:pt>
                      <c:pt idx="175">
                        <c:v>0.57499999999999996</c:v>
                      </c:pt>
                      <c:pt idx="176">
                        <c:v>0.57499999999999996</c:v>
                      </c:pt>
                      <c:pt idx="177">
                        <c:v>0.57499999999999996</c:v>
                      </c:pt>
                      <c:pt idx="178">
                        <c:v>0.57499999999999996</c:v>
                      </c:pt>
                      <c:pt idx="179">
                        <c:v>0.57499999999999996</c:v>
                      </c:pt>
                      <c:pt idx="180">
                        <c:v>0.57499999999999996</c:v>
                      </c:pt>
                      <c:pt idx="181">
                        <c:v>0.57499999999999996</c:v>
                      </c:pt>
                      <c:pt idx="182">
                        <c:v>0.57499999999999996</c:v>
                      </c:pt>
                      <c:pt idx="183">
                        <c:v>0.57499999999999996</c:v>
                      </c:pt>
                      <c:pt idx="184">
                        <c:v>0.57499999999999996</c:v>
                      </c:pt>
                      <c:pt idx="185">
                        <c:v>0.57499999999999996</c:v>
                      </c:pt>
                      <c:pt idx="186">
                        <c:v>0.57499999999999996</c:v>
                      </c:pt>
                      <c:pt idx="187">
                        <c:v>0.57499999999999996</c:v>
                      </c:pt>
                      <c:pt idx="188">
                        <c:v>0.57499999999999996</c:v>
                      </c:pt>
                      <c:pt idx="189">
                        <c:v>0.57499999999999996</c:v>
                      </c:pt>
                      <c:pt idx="190">
                        <c:v>0.57499999999999996</c:v>
                      </c:pt>
                      <c:pt idx="191">
                        <c:v>0.57499999999999996</c:v>
                      </c:pt>
                      <c:pt idx="192">
                        <c:v>0.57499999999999996</c:v>
                      </c:pt>
                      <c:pt idx="193">
                        <c:v>0.57499999999999996</c:v>
                      </c:pt>
                      <c:pt idx="194">
                        <c:v>0.57499999999999996</c:v>
                      </c:pt>
                      <c:pt idx="195">
                        <c:v>0.57499999999999996</c:v>
                      </c:pt>
                      <c:pt idx="196">
                        <c:v>0.57499999999999996</c:v>
                      </c:pt>
                      <c:pt idx="197">
                        <c:v>0.57499999999999996</c:v>
                      </c:pt>
                      <c:pt idx="198">
                        <c:v>0.57499999999999996</c:v>
                      </c:pt>
                      <c:pt idx="199">
                        <c:v>0.57499999999999996</c:v>
                      </c:pt>
                      <c:pt idx="200">
                        <c:v>0.57499999999999996</c:v>
                      </c:pt>
                      <c:pt idx="201">
                        <c:v>0.57499999999999996</c:v>
                      </c:pt>
                      <c:pt idx="202">
                        <c:v>0.57499999999999996</c:v>
                      </c:pt>
                      <c:pt idx="203">
                        <c:v>0.57499999999999996</c:v>
                      </c:pt>
                      <c:pt idx="204">
                        <c:v>0.57499999999999996</c:v>
                      </c:pt>
                      <c:pt idx="205">
                        <c:v>0.57499999999999996</c:v>
                      </c:pt>
                      <c:pt idx="206">
                        <c:v>0.57499999999999996</c:v>
                      </c:pt>
                      <c:pt idx="207">
                        <c:v>0.57499999999999996</c:v>
                      </c:pt>
                      <c:pt idx="208">
                        <c:v>0.57499999999999996</c:v>
                      </c:pt>
                      <c:pt idx="209">
                        <c:v>0.57499999999999996</c:v>
                      </c:pt>
                      <c:pt idx="210">
                        <c:v>0.57499999999999996</c:v>
                      </c:pt>
                      <c:pt idx="211">
                        <c:v>0.57499999999999996</c:v>
                      </c:pt>
                      <c:pt idx="212">
                        <c:v>0.57499999999999996</c:v>
                      </c:pt>
                      <c:pt idx="213">
                        <c:v>0.57499999999999996</c:v>
                      </c:pt>
                      <c:pt idx="214">
                        <c:v>0.57499999999999996</c:v>
                      </c:pt>
                      <c:pt idx="215">
                        <c:v>0.57499999999999996</c:v>
                      </c:pt>
                      <c:pt idx="216">
                        <c:v>0.57499999999999996</c:v>
                      </c:pt>
                      <c:pt idx="217">
                        <c:v>0.57499999999999996</c:v>
                      </c:pt>
                      <c:pt idx="218">
                        <c:v>0.57499999999999996</c:v>
                      </c:pt>
                      <c:pt idx="219">
                        <c:v>0.57499999999999996</c:v>
                      </c:pt>
                      <c:pt idx="220">
                        <c:v>0.57499999999999996</c:v>
                      </c:pt>
                      <c:pt idx="221">
                        <c:v>0.57499999999999996</c:v>
                      </c:pt>
                      <c:pt idx="222">
                        <c:v>0.57499999999999996</c:v>
                      </c:pt>
                      <c:pt idx="223">
                        <c:v>0.57499999999999996</c:v>
                      </c:pt>
                      <c:pt idx="224">
                        <c:v>0.57499999999999996</c:v>
                      </c:pt>
                      <c:pt idx="225">
                        <c:v>0.57499999999999996</c:v>
                      </c:pt>
                      <c:pt idx="226">
                        <c:v>0.57499999999999996</c:v>
                      </c:pt>
                      <c:pt idx="227">
                        <c:v>0.57499999999999996</c:v>
                      </c:pt>
                      <c:pt idx="228">
                        <c:v>0.57499999999999996</c:v>
                      </c:pt>
                      <c:pt idx="229">
                        <c:v>0.57499999999999996</c:v>
                      </c:pt>
                      <c:pt idx="230">
                        <c:v>0.57499999999999996</c:v>
                      </c:pt>
                      <c:pt idx="231">
                        <c:v>0.57499999999999996</c:v>
                      </c:pt>
                      <c:pt idx="232">
                        <c:v>0.57499999999999996</c:v>
                      </c:pt>
                      <c:pt idx="233">
                        <c:v>0.57499999999999996</c:v>
                      </c:pt>
                      <c:pt idx="234">
                        <c:v>0.57499999999999996</c:v>
                      </c:pt>
                      <c:pt idx="235">
                        <c:v>0.57499999999999996</c:v>
                      </c:pt>
                      <c:pt idx="236">
                        <c:v>0.57499999999999996</c:v>
                      </c:pt>
                      <c:pt idx="237">
                        <c:v>0.57499999999999996</c:v>
                      </c:pt>
                      <c:pt idx="238">
                        <c:v>0.57499999999999996</c:v>
                      </c:pt>
                      <c:pt idx="239">
                        <c:v>0.57499999999999996</c:v>
                      </c:pt>
                      <c:pt idx="240">
                        <c:v>0.57499999999999996</c:v>
                      </c:pt>
                      <c:pt idx="241">
                        <c:v>0.57499999999999996</c:v>
                      </c:pt>
                      <c:pt idx="242">
                        <c:v>0.57499999999999996</c:v>
                      </c:pt>
                      <c:pt idx="243">
                        <c:v>0.57499999999999996</c:v>
                      </c:pt>
                      <c:pt idx="244">
                        <c:v>0.57499999999999996</c:v>
                      </c:pt>
                      <c:pt idx="245">
                        <c:v>0.57499999999999996</c:v>
                      </c:pt>
                      <c:pt idx="246">
                        <c:v>0.57499999999999996</c:v>
                      </c:pt>
                      <c:pt idx="247">
                        <c:v>0.57499999999999996</c:v>
                      </c:pt>
                      <c:pt idx="248">
                        <c:v>0.57499999999999996</c:v>
                      </c:pt>
                      <c:pt idx="249">
                        <c:v>0.57499999999999996</c:v>
                      </c:pt>
                      <c:pt idx="250">
                        <c:v>0.57499999999999996</c:v>
                      </c:pt>
                      <c:pt idx="251">
                        <c:v>0.57499999999999996</c:v>
                      </c:pt>
                      <c:pt idx="252">
                        <c:v>0.57499999999999996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DC8-467F-97D1-4107B1206BB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strRef>
              <c:f>'Dividend Yield'!$D$1</c:f>
              <c:strCache>
                <c:ptCount val="1"/>
                <c:pt idx="0">
                  <c:v>Dividend Yield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7.1189279731993294E-2"/>
                  <c:y val="-6.761511559554074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High Yield:</a:t>
                    </a:r>
                    <a:fld id="{58A230C9-A202-4BB3-9AB9-EDE329CE3070}" type="VALUE">
                      <a:rPr lang="en-US" b="1"/>
                      <a:pPr>
                        <a:defRPr/>
                      </a:pPr>
                      <a:t>[VALUE]</a:t>
                    </a:fld>
                    <a:endParaRPr lang="en-US" b="1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DC8-467F-97D1-4107B1206BBD}"/>
                </c:ext>
              </c:extLst>
            </c:dLbl>
            <c:dLbl>
              <c:idx val="66"/>
              <c:layout>
                <c:manualLayout>
                  <c:x val="9.6314907872696781E-2"/>
                  <c:y val="-5.56830363727982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E25A0D-1258-4959-BE79-5BDB52FE1987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-8.5 Stable price Range</a:t>
                    </a:r>
                  </a:p>
                </c:rich>
              </c:tx>
              <c:spPr>
                <a:solidFill>
                  <a:schemeClr val="accent4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87470818660232"/>
                      <c:h val="5.562353256565069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C85-4FBB-9F12-BA3BFAA99AC4}"/>
                </c:ext>
              </c:extLst>
            </c:dLbl>
            <c:dLbl>
              <c:idx val="222"/>
              <c:layout>
                <c:manualLayout>
                  <c:x val="-7.4329983249581386E-2"/>
                  <c:y val="9.85987479772620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6.6%-Lowest dividend Yied</a:t>
                    </a:r>
                  </a:p>
                </c:rich>
              </c:tx>
              <c:spPr>
                <a:solidFill>
                  <a:srgbClr val="FF0000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80820770519264"/>
                      <c:h val="0.10533990297121298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9C85-4FBB-9F12-BA3BFAA99AC4}"/>
                </c:ext>
              </c:extLst>
            </c:dLbl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'Dividend Yield'!$A$2:$A$254</c:f>
              <c:numCache>
                <c:formatCode>m/d/yyyy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'Dividend Yield'!$D$2:$D$254</c:f>
              <c:numCache>
                <c:formatCode>0.00%</c:formatCode>
                <c:ptCount val="253"/>
                <c:pt idx="0">
                  <c:v>0.11616161616161615</c:v>
                </c:pt>
                <c:pt idx="1">
                  <c:v>0.1159274193548387</c:v>
                </c:pt>
                <c:pt idx="2">
                  <c:v>0.11954261954261955</c:v>
                </c:pt>
                <c:pt idx="3">
                  <c:v>0.11880165289256198</c:v>
                </c:pt>
                <c:pt idx="4">
                  <c:v>0.11929460580912861</c:v>
                </c:pt>
                <c:pt idx="5">
                  <c:v>0.11954261954261955</c:v>
                </c:pt>
                <c:pt idx="6">
                  <c:v>0.11710794297352341</c:v>
                </c:pt>
                <c:pt idx="7">
                  <c:v>0.11710794297352341</c:v>
                </c:pt>
                <c:pt idx="8">
                  <c:v>0.11499999999999999</c:v>
                </c:pt>
                <c:pt idx="9">
                  <c:v>0.11318897637795275</c:v>
                </c:pt>
                <c:pt idx="10">
                  <c:v>0.11616161616161615</c:v>
                </c:pt>
                <c:pt idx="11">
                  <c:v>0.11078998073217725</c:v>
                </c:pt>
                <c:pt idx="12">
                  <c:v>0.10687732342007435</c:v>
                </c:pt>
                <c:pt idx="13">
                  <c:v>0.1053113553113553</c:v>
                </c:pt>
                <c:pt idx="14">
                  <c:v>9.9999999999999992E-2</c:v>
                </c:pt>
                <c:pt idx="15">
                  <c:v>9.965337954939342E-2</c:v>
                </c:pt>
                <c:pt idx="16">
                  <c:v>9.7789115646258501E-2</c:v>
                </c:pt>
                <c:pt idx="17">
                  <c:v>9.7457627118644058E-2</c:v>
                </c:pt>
                <c:pt idx="18">
                  <c:v>9.9999999999999992E-2</c:v>
                </c:pt>
                <c:pt idx="19">
                  <c:v>0.10176991150442477</c:v>
                </c:pt>
                <c:pt idx="20">
                  <c:v>9.9137931034482749E-2</c:v>
                </c:pt>
                <c:pt idx="21">
                  <c:v>9.9999999999999992E-2</c:v>
                </c:pt>
                <c:pt idx="22">
                  <c:v>9.8797250859106511E-2</c:v>
                </c:pt>
                <c:pt idx="23">
                  <c:v>9.535655058043116E-2</c:v>
                </c:pt>
                <c:pt idx="24">
                  <c:v>9.5993322203672779E-2</c:v>
                </c:pt>
                <c:pt idx="25">
                  <c:v>0.10176991150442477</c:v>
                </c:pt>
                <c:pt idx="26">
                  <c:v>9.8290598290598288E-2</c:v>
                </c:pt>
                <c:pt idx="27">
                  <c:v>9.6801346801346791E-2</c:v>
                </c:pt>
                <c:pt idx="28">
                  <c:v>9.8797250859106511E-2</c:v>
                </c:pt>
                <c:pt idx="29">
                  <c:v>9.7623089983022063E-2</c:v>
                </c:pt>
                <c:pt idx="30">
                  <c:v>9.5673876871880198E-2</c:v>
                </c:pt>
                <c:pt idx="31">
                  <c:v>9.3495934959349575E-2</c:v>
                </c:pt>
                <c:pt idx="32">
                  <c:v>9.4417077175697861E-2</c:v>
                </c:pt>
                <c:pt idx="33">
                  <c:v>9.4262295081967207E-2</c:v>
                </c:pt>
                <c:pt idx="34">
                  <c:v>9.4262295081967207E-2</c:v>
                </c:pt>
                <c:pt idx="35">
                  <c:v>9.4728171334431621E-2</c:v>
                </c:pt>
                <c:pt idx="36">
                  <c:v>8.9563862928348906E-2</c:v>
                </c:pt>
                <c:pt idx="37">
                  <c:v>9.0694006309148256E-2</c:v>
                </c:pt>
                <c:pt idx="38">
                  <c:v>8.1560283687943255E-2</c:v>
                </c:pt>
                <c:pt idx="39">
                  <c:v>8.3575581395348833E-2</c:v>
                </c:pt>
                <c:pt idx="40">
                  <c:v>8.2142857142857142E-2</c:v>
                </c:pt>
                <c:pt idx="41">
                  <c:v>8.2142857142857142E-2</c:v>
                </c:pt>
                <c:pt idx="42">
                  <c:v>8.2260371959942763E-2</c:v>
                </c:pt>
                <c:pt idx="43">
                  <c:v>8.3575581395348833E-2</c:v>
                </c:pt>
                <c:pt idx="44">
                  <c:v>8.2853025936599406E-2</c:v>
                </c:pt>
                <c:pt idx="45">
                  <c:v>8.2142857142857142E-2</c:v>
                </c:pt>
                <c:pt idx="46">
                  <c:v>8.2378223495701994E-2</c:v>
                </c:pt>
                <c:pt idx="47">
                  <c:v>8.4310850439882692E-2</c:v>
                </c:pt>
                <c:pt idx="48">
                  <c:v>8.4808259587020637E-2</c:v>
                </c:pt>
                <c:pt idx="49">
                  <c:v>8.3941605839416053E-2</c:v>
                </c:pt>
                <c:pt idx="50">
                  <c:v>8.5565476190476192E-2</c:v>
                </c:pt>
                <c:pt idx="51">
                  <c:v>8.646616541353383E-2</c:v>
                </c:pt>
                <c:pt idx="52">
                  <c:v>8.6336336336336333E-2</c:v>
                </c:pt>
                <c:pt idx="53">
                  <c:v>8.5820895522388058E-2</c:v>
                </c:pt>
                <c:pt idx="54">
                  <c:v>8.620689655172413E-2</c:v>
                </c:pt>
                <c:pt idx="55">
                  <c:v>8.5820895522388058E-2</c:v>
                </c:pt>
                <c:pt idx="56">
                  <c:v>8.5820895522388058E-2</c:v>
                </c:pt>
                <c:pt idx="57">
                  <c:v>8.5185185185185183E-2</c:v>
                </c:pt>
                <c:pt idx="58">
                  <c:v>8.5059171597633126E-2</c:v>
                </c:pt>
                <c:pt idx="59">
                  <c:v>8.3212735166425467E-2</c:v>
                </c:pt>
                <c:pt idx="60">
                  <c:v>8.1676136363636354E-2</c:v>
                </c:pt>
                <c:pt idx="61">
                  <c:v>8.121468926553671E-2</c:v>
                </c:pt>
                <c:pt idx="62">
                  <c:v>8.1100141043723553E-2</c:v>
                </c:pt>
                <c:pt idx="63">
                  <c:v>7.8767123287671229E-2</c:v>
                </c:pt>
                <c:pt idx="64">
                  <c:v>7.8659370725034192E-2</c:v>
                </c:pt>
                <c:pt idx="65">
                  <c:v>7.6666666666666661E-2</c:v>
                </c:pt>
                <c:pt idx="66">
                  <c:v>7.5261780104712045E-2</c:v>
                </c:pt>
                <c:pt idx="67">
                  <c:v>7.4675324675324672E-2</c:v>
                </c:pt>
                <c:pt idx="68">
                  <c:v>7.4193548387096769E-2</c:v>
                </c:pt>
                <c:pt idx="69">
                  <c:v>7.5657894736842105E-2</c:v>
                </c:pt>
                <c:pt idx="70">
                  <c:v>7.4675324675324672E-2</c:v>
                </c:pt>
                <c:pt idx="71">
                  <c:v>7.5163398692810454E-2</c:v>
                </c:pt>
                <c:pt idx="72">
                  <c:v>7.4193548387096769E-2</c:v>
                </c:pt>
                <c:pt idx="73">
                  <c:v>7.4675324675324672E-2</c:v>
                </c:pt>
                <c:pt idx="74">
                  <c:v>7.457846952010376E-2</c:v>
                </c:pt>
                <c:pt idx="75">
                  <c:v>7.5459317585301833E-2</c:v>
                </c:pt>
                <c:pt idx="76">
                  <c:v>7.1606475716064752E-2</c:v>
                </c:pt>
                <c:pt idx="77">
                  <c:v>7.0812807881773396E-2</c:v>
                </c:pt>
                <c:pt idx="78">
                  <c:v>7.1075401730531521E-2</c:v>
                </c:pt>
                <c:pt idx="79">
                  <c:v>7.0465686274509803E-2</c:v>
                </c:pt>
                <c:pt idx="80">
                  <c:v>6.9696969696969688E-2</c:v>
                </c:pt>
                <c:pt idx="81">
                  <c:v>6.9696969696969688E-2</c:v>
                </c:pt>
                <c:pt idx="82">
                  <c:v>7.0036540803897679E-2</c:v>
                </c:pt>
                <c:pt idx="83">
                  <c:v>7.2236180904522607E-2</c:v>
                </c:pt>
                <c:pt idx="84">
                  <c:v>7.2055137844611525E-2</c:v>
                </c:pt>
                <c:pt idx="85">
                  <c:v>7.0207570207570208E-2</c:v>
                </c:pt>
                <c:pt idx="86">
                  <c:v>6.9027611044417764E-2</c:v>
                </c:pt>
                <c:pt idx="87">
                  <c:v>7.1964956195244054E-2</c:v>
                </c:pt>
                <c:pt idx="88">
                  <c:v>7.2969543147208119E-2</c:v>
                </c:pt>
                <c:pt idx="89">
                  <c:v>7.371794871794872E-2</c:v>
                </c:pt>
                <c:pt idx="90">
                  <c:v>7.5163398692810454E-2</c:v>
                </c:pt>
                <c:pt idx="91">
                  <c:v>7.5261780104712045E-2</c:v>
                </c:pt>
                <c:pt idx="92">
                  <c:v>7.4869791666666657E-2</c:v>
                </c:pt>
                <c:pt idx="93">
                  <c:v>7.5558475689881721E-2</c:v>
                </c:pt>
                <c:pt idx="94">
                  <c:v>7.4385510996119009E-2</c:v>
                </c:pt>
                <c:pt idx="95">
                  <c:v>7.4385510996119009E-2</c:v>
                </c:pt>
                <c:pt idx="96">
                  <c:v>7.3435504469987228E-2</c:v>
                </c:pt>
                <c:pt idx="97">
                  <c:v>7.3907455012853465E-2</c:v>
                </c:pt>
                <c:pt idx="98">
                  <c:v>7.4193548387096769E-2</c:v>
                </c:pt>
                <c:pt idx="99">
                  <c:v>7.2601010101010097E-2</c:v>
                </c:pt>
                <c:pt idx="100">
                  <c:v>7.2692793931731975E-2</c:v>
                </c:pt>
                <c:pt idx="101">
                  <c:v>7.1785268414481893E-2</c:v>
                </c:pt>
                <c:pt idx="102">
                  <c:v>7.4002574002573998E-2</c:v>
                </c:pt>
                <c:pt idx="103">
                  <c:v>7.7077747989276135E-2</c:v>
                </c:pt>
                <c:pt idx="104">
                  <c:v>7.7284946236559127E-2</c:v>
                </c:pt>
                <c:pt idx="105">
                  <c:v>7.7077747989276135E-2</c:v>
                </c:pt>
                <c:pt idx="106">
                  <c:v>7.5065274151436018E-2</c:v>
                </c:pt>
                <c:pt idx="107">
                  <c:v>7.5065274151436018E-2</c:v>
                </c:pt>
                <c:pt idx="108">
                  <c:v>7.6158940397350994E-2</c:v>
                </c:pt>
                <c:pt idx="109">
                  <c:v>7.371794871794872E-2</c:v>
                </c:pt>
                <c:pt idx="110">
                  <c:v>7.5065274151436018E-2</c:v>
                </c:pt>
                <c:pt idx="111">
                  <c:v>7.2784810126582264E-2</c:v>
                </c:pt>
                <c:pt idx="112">
                  <c:v>7.1163366336633657E-2</c:v>
                </c:pt>
                <c:pt idx="113">
                  <c:v>7.0638820638820626E-2</c:v>
                </c:pt>
                <c:pt idx="114">
                  <c:v>7.133995037220843E-2</c:v>
                </c:pt>
                <c:pt idx="115">
                  <c:v>7.1874999999999994E-2</c:v>
                </c:pt>
                <c:pt idx="116">
                  <c:v>7.3529411764705871E-2</c:v>
                </c:pt>
                <c:pt idx="117">
                  <c:v>7.428940568475452E-2</c:v>
                </c:pt>
                <c:pt idx="118">
                  <c:v>7.3812580231065461E-2</c:v>
                </c:pt>
                <c:pt idx="119">
                  <c:v>7.4385510996119009E-2</c:v>
                </c:pt>
                <c:pt idx="120">
                  <c:v>7.3907455012853465E-2</c:v>
                </c:pt>
                <c:pt idx="121">
                  <c:v>7.1695760598503744E-2</c:v>
                </c:pt>
                <c:pt idx="122">
                  <c:v>7.1517412935323391E-2</c:v>
                </c:pt>
                <c:pt idx="123">
                  <c:v>7.2418136020151125E-2</c:v>
                </c:pt>
                <c:pt idx="124">
                  <c:v>7.2145545796737764E-2</c:v>
                </c:pt>
                <c:pt idx="125">
                  <c:v>7.1695760598503744E-2</c:v>
                </c:pt>
                <c:pt idx="126">
                  <c:v>7.0638820638820626E-2</c:v>
                </c:pt>
                <c:pt idx="127">
                  <c:v>6.8533969010727044E-2</c:v>
                </c:pt>
                <c:pt idx="128">
                  <c:v>6.9193742478941028E-2</c:v>
                </c:pt>
                <c:pt idx="129">
                  <c:v>6.7016317016317009E-2</c:v>
                </c:pt>
                <c:pt idx="130">
                  <c:v>7.098765432098765E-2</c:v>
                </c:pt>
                <c:pt idx="131">
                  <c:v>7.0293398533007326E-2</c:v>
                </c:pt>
                <c:pt idx="132">
                  <c:v>6.9696969696969688E-2</c:v>
                </c:pt>
                <c:pt idx="133">
                  <c:v>6.8127962085308053E-2</c:v>
                </c:pt>
                <c:pt idx="134">
                  <c:v>6.8615751789976129E-2</c:v>
                </c:pt>
                <c:pt idx="135">
                  <c:v>6.8208778173190987E-2</c:v>
                </c:pt>
                <c:pt idx="136">
                  <c:v>6.8452380952380945E-2</c:v>
                </c:pt>
                <c:pt idx="137">
                  <c:v>7.0900123304562274E-2</c:v>
                </c:pt>
                <c:pt idx="138">
                  <c:v>7.1606475716064752E-2</c:v>
                </c:pt>
                <c:pt idx="139">
                  <c:v>7.371794871794872E-2</c:v>
                </c:pt>
                <c:pt idx="140">
                  <c:v>7.4097938144329897E-2</c:v>
                </c:pt>
                <c:pt idx="141">
                  <c:v>7.4481865284974094E-2</c:v>
                </c:pt>
                <c:pt idx="142">
                  <c:v>7.2692793931731975E-2</c:v>
                </c:pt>
                <c:pt idx="143">
                  <c:v>7.098765432098765E-2</c:v>
                </c:pt>
                <c:pt idx="144">
                  <c:v>6.952841596130592E-2</c:v>
                </c:pt>
                <c:pt idx="145">
                  <c:v>7.098765432098765E-2</c:v>
                </c:pt>
                <c:pt idx="146">
                  <c:v>6.8452380952380945E-2</c:v>
                </c:pt>
                <c:pt idx="147">
                  <c:v>6.8533969010727044E-2</c:v>
                </c:pt>
                <c:pt idx="148">
                  <c:v>6.8047337278106509E-2</c:v>
                </c:pt>
                <c:pt idx="149">
                  <c:v>6.8452380952380945E-2</c:v>
                </c:pt>
                <c:pt idx="150">
                  <c:v>6.7488262910798125E-2</c:v>
                </c:pt>
                <c:pt idx="151">
                  <c:v>7.0379436964504286E-2</c:v>
                </c:pt>
                <c:pt idx="152">
                  <c:v>7.0900123304562274E-2</c:v>
                </c:pt>
                <c:pt idx="153">
                  <c:v>7.1075401730531521E-2</c:v>
                </c:pt>
                <c:pt idx="154">
                  <c:v>6.9277108433734927E-2</c:v>
                </c:pt>
                <c:pt idx="155">
                  <c:v>6.7886658795749691E-2</c:v>
                </c:pt>
                <c:pt idx="156">
                  <c:v>7.0207570207570208E-2</c:v>
                </c:pt>
                <c:pt idx="157">
                  <c:v>7.0207570207570208E-2</c:v>
                </c:pt>
                <c:pt idx="158">
                  <c:v>7.0465686274509803E-2</c:v>
                </c:pt>
                <c:pt idx="159">
                  <c:v>7.0465686274509803E-2</c:v>
                </c:pt>
                <c:pt idx="160">
                  <c:v>6.9277108433734927E-2</c:v>
                </c:pt>
                <c:pt idx="161">
                  <c:v>6.8452380952380945E-2</c:v>
                </c:pt>
                <c:pt idx="162">
                  <c:v>6.8208778173190987E-2</c:v>
                </c:pt>
                <c:pt idx="163">
                  <c:v>6.7806603773584898E-2</c:v>
                </c:pt>
                <c:pt idx="164">
                  <c:v>6.1827956989247305E-2</c:v>
                </c:pt>
                <c:pt idx="165">
                  <c:v>6.2704471101417664E-2</c:v>
                </c:pt>
                <c:pt idx="166">
                  <c:v>6.4971751412429377E-2</c:v>
                </c:pt>
                <c:pt idx="167">
                  <c:v>6.6168009205983883E-2</c:v>
                </c:pt>
                <c:pt idx="168">
                  <c:v>6.4898419864559825E-2</c:v>
                </c:pt>
                <c:pt idx="169">
                  <c:v>6.4317673378076062E-2</c:v>
                </c:pt>
                <c:pt idx="170">
                  <c:v>6.6091954022988508E-2</c:v>
                </c:pt>
                <c:pt idx="171">
                  <c:v>6.8047337278106509E-2</c:v>
                </c:pt>
                <c:pt idx="172">
                  <c:v>6.8779904306220094E-2</c:v>
                </c:pt>
                <c:pt idx="173">
                  <c:v>6.8452380952380945E-2</c:v>
                </c:pt>
                <c:pt idx="174">
                  <c:v>7.0638820638820626E-2</c:v>
                </c:pt>
                <c:pt idx="175">
                  <c:v>7.2509457755359386E-2</c:v>
                </c:pt>
                <c:pt idx="176">
                  <c:v>7.1695760598503744E-2</c:v>
                </c:pt>
                <c:pt idx="177">
                  <c:v>7.6158940397350994E-2</c:v>
                </c:pt>
                <c:pt idx="178">
                  <c:v>7.7493261455525597E-2</c:v>
                </c:pt>
                <c:pt idx="179">
                  <c:v>7.7702702702702686E-2</c:v>
                </c:pt>
                <c:pt idx="180">
                  <c:v>7.7702702702702686E-2</c:v>
                </c:pt>
                <c:pt idx="181">
                  <c:v>7.5163398692810454E-2</c:v>
                </c:pt>
                <c:pt idx="182">
                  <c:v>7.2784810126582264E-2</c:v>
                </c:pt>
                <c:pt idx="183">
                  <c:v>7.6769025367156199E-2</c:v>
                </c:pt>
                <c:pt idx="184">
                  <c:v>7.6666666666666661E-2</c:v>
                </c:pt>
                <c:pt idx="185">
                  <c:v>7.636122177954846E-2</c:v>
                </c:pt>
                <c:pt idx="186">
                  <c:v>7.575757575757576E-2</c:v>
                </c:pt>
                <c:pt idx="187">
                  <c:v>7.2327044025157231E-2</c:v>
                </c:pt>
                <c:pt idx="188">
                  <c:v>7.1517412935323391E-2</c:v>
                </c:pt>
                <c:pt idx="189">
                  <c:v>7.1874999999999994E-2</c:v>
                </c:pt>
                <c:pt idx="190">
                  <c:v>7.0812807881773396E-2</c:v>
                </c:pt>
                <c:pt idx="191">
                  <c:v>7.4481865284974094E-2</c:v>
                </c:pt>
                <c:pt idx="192">
                  <c:v>7.7077747989276135E-2</c:v>
                </c:pt>
                <c:pt idx="193">
                  <c:v>7.7702702702702686E-2</c:v>
                </c:pt>
                <c:pt idx="194">
                  <c:v>7.636122177954846E-2</c:v>
                </c:pt>
                <c:pt idx="195">
                  <c:v>7.9861111111111105E-2</c:v>
                </c:pt>
                <c:pt idx="196">
                  <c:v>8.2733812949640273E-2</c:v>
                </c:pt>
                <c:pt idx="197">
                  <c:v>8.3212735166425467E-2</c:v>
                </c:pt>
                <c:pt idx="198">
                  <c:v>8.3819241982507273E-2</c:v>
                </c:pt>
                <c:pt idx="199">
                  <c:v>7.7181208053691261E-2</c:v>
                </c:pt>
                <c:pt idx="200">
                  <c:v>7.9861111111111105E-2</c:v>
                </c:pt>
                <c:pt idx="201">
                  <c:v>7.8337874659400536E-2</c:v>
                </c:pt>
                <c:pt idx="202">
                  <c:v>7.7077747989276135E-2</c:v>
                </c:pt>
                <c:pt idx="203">
                  <c:v>7.6666666666666661E-2</c:v>
                </c:pt>
                <c:pt idx="204">
                  <c:v>7.7181208053691261E-2</c:v>
                </c:pt>
                <c:pt idx="205">
                  <c:v>7.8337874659400536E-2</c:v>
                </c:pt>
                <c:pt idx="206">
                  <c:v>7.4097938144329897E-2</c:v>
                </c:pt>
                <c:pt idx="207">
                  <c:v>7.5163398692810454E-2</c:v>
                </c:pt>
                <c:pt idx="208">
                  <c:v>7.5163398692810454E-2</c:v>
                </c:pt>
                <c:pt idx="209">
                  <c:v>7.306226175349427E-2</c:v>
                </c:pt>
                <c:pt idx="210">
                  <c:v>7.428940568475452E-2</c:v>
                </c:pt>
                <c:pt idx="211">
                  <c:v>7.5163398692810454E-2</c:v>
                </c:pt>
                <c:pt idx="212">
                  <c:v>7.3623559539052488E-2</c:v>
                </c:pt>
                <c:pt idx="213">
                  <c:v>7.4967405475880045E-2</c:v>
                </c:pt>
                <c:pt idx="214">
                  <c:v>7.3812580231065461E-2</c:v>
                </c:pt>
                <c:pt idx="215">
                  <c:v>7.3155216284987265E-2</c:v>
                </c:pt>
                <c:pt idx="216">
                  <c:v>7.2784810126582264E-2</c:v>
                </c:pt>
                <c:pt idx="217">
                  <c:v>7.2418136020151125E-2</c:v>
                </c:pt>
                <c:pt idx="218">
                  <c:v>7.0379436964504286E-2</c:v>
                </c:pt>
                <c:pt idx="219">
                  <c:v>6.6550925925925916E-2</c:v>
                </c:pt>
                <c:pt idx="220">
                  <c:v>6.9360675512665865E-2</c:v>
                </c:pt>
                <c:pt idx="221">
                  <c:v>6.8452380952380945E-2</c:v>
                </c:pt>
                <c:pt idx="222">
                  <c:v>6.8862275449101798E-2</c:v>
                </c:pt>
                <c:pt idx="223">
                  <c:v>7.0465686274509803E-2</c:v>
                </c:pt>
                <c:pt idx="224">
                  <c:v>7.0293398533007326E-2</c:v>
                </c:pt>
                <c:pt idx="225">
                  <c:v>7.457846952010376E-2</c:v>
                </c:pt>
                <c:pt idx="226">
                  <c:v>7.5558475689881721E-2</c:v>
                </c:pt>
                <c:pt idx="227">
                  <c:v>7.5163398692810454E-2</c:v>
                </c:pt>
                <c:pt idx="228">
                  <c:v>7.7493261455525597E-2</c:v>
                </c:pt>
                <c:pt idx="229">
                  <c:v>7.898351648351648E-2</c:v>
                </c:pt>
                <c:pt idx="230">
                  <c:v>7.6769025367156199E-2</c:v>
                </c:pt>
                <c:pt idx="231">
                  <c:v>7.656458055925433E-2</c:v>
                </c:pt>
                <c:pt idx="232">
                  <c:v>7.4002574002573998E-2</c:v>
                </c:pt>
                <c:pt idx="233">
                  <c:v>7.5857519788918193E-2</c:v>
                </c:pt>
                <c:pt idx="234">
                  <c:v>7.5657894736842105E-2</c:v>
                </c:pt>
                <c:pt idx="235">
                  <c:v>7.2969543147208119E-2</c:v>
                </c:pt>
                <c:pt idx="236">
                  <c:v>7.32484076433121E-2</c:v>
                </c:pt>
                <c:pt idx="237">
                  <c:v>7.32484076433121E-2</c:v>
                </c:pt>
                <c:pt idx="238">
                  <c:v>7.3341836734693869E-2</c:v>
                </c:pt>
                <c:pt idx="239">
                  <c:v>7.4097938144329897E-2</c:v>
                </c:pt>
                <c:pt idx="240">
                  <c:v>7.5857519788918193E-2</c:v>
                </c:pt>
                <c:pt idx="241">
                  <c:v>7.7702702702702686E-2</c:v>
                </c:pt>
                <c:pt idx="242">
                  <c:v>7.7077747989276135E-2</c:v>
                </c:pt>
                <c:pt idx="243">
                  <c:v>7.3907455012853465E-2</c:v>
                </c:pt>
                <c:pt idx="244">
                  <c:v>7.575757575757576E-2</c:v>
                </c:pt>
                <c:pt idx="245">
                  <c:v>7.7388963660834448E-2</c:v>
                </c:pt>
                <c:pt idx="246">
                  <c:v>7.7913279132791322E-2</c:v>
                </c:pt>
                <c:pt idx="247">
                  <c:v>7.8124999999999986E-2</c:v>
                </c:pt>
                <c:pt idx="248">
                  <c:v>7.9092159559834938E-2</c:v>
                </c:pt>
                <c:pt idx="249">
                  <c:v>7.8231292517006806E-2</c:v>
                </c:pt>
                <c:pt idx="250">
                  <c:v>7.7284946236559127E-2</c:v>
                </c:pt>
                <c:pt idx="251">
                  <c:v>7.5558475689881721E-2</c:v>
                </c:pt>
                <c:pt idx="252">
                  <c:v>7.3907455012853465E-2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8-467F-97D1-4107B1206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171088"/>
        <c:axId val="457168928"/>
      </c:lineChart>
      <c:dateAx>
        <c:axId val="682773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68624"/>
        <c:crosses val="autoZero"/>
        <c:auto val="1"/>
        <c:lblOffset val="100"/>
        <c:baseTimeUnit val="days"/>
      </c:dateAx>
      <c:valAx>
        <c:axId val="68276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73304"/>
        <c:crosses val="autoZero"/>
        <c:crossBetween val="between"/>
      </c:valAx>
      <c:valAx>
        <c:axId val="45716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Dividend</a:t>
                </a:r>
                <a:r>
                  <a:rPr lang="en-US" baseline="0"/>
                  <a:t> Yield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1088"/>
        <c:crosses val="max"/>
        <c:crossBetween val="between"/>
      </c:valAx>
      <c:dateAx>
        <c:axId val="4571710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57168928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Portfolio Value Over Time (2024-2025)</a:t>
            </a:r>
          </a:p>
        </c:rich>
      </c:tx>
      <c:layout>
        <c:manualLayout>
          <c:xMode val="edge"/>
          <c:yMode val="edge"/>
          <c:x val="0.38374235300393406"/>
          <c:y val="9.583414874663562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05491174178988"/>
          <c:y val="9.9017231724228355E-2"/>
          <c:w val="0.84347567637760723"/>
          <c:h val="0.7815520877640950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470648"/>
        <c:axId val="388467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'Yearly Portfolio'!$B$1</c15:sqref>
                        </c15:formulaRef>
                      </c:ext>
                    </c:extLst>
                    <c:strCache>
                      <c:ptCount val="1"/>
                      <c:pt idx="0">
                        <c:v>Close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'Yearly Portfolio'!$A$2:$A$254</c15:sqref>
                        </c15:formulaRef>
                      </c:ext>
                    </c:extLst>
                    <c:numCache>
                      <c:formatCode>m/d/yyyy</c:formatCode>
                      <c:ptCount val="253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45481</c:v>
                      </c:pt>
                      <c:pt idx="6">
                        <c:v>45482</c:v>
                      </c:pt>
                      <c:pt idx="7">
                        <c:v>45483</c:v>
                      </c:pt>
                      <c:pt idx="8">
                        <c:v>45484</c:v>
                      </c:pt>
                      <c:pt idx="9">
                        <c:v>45485</c:v>
                      </c:pt>
                      <c:pt idx="10">
                        <c:v>45488</c:v>
                      </c:pt>
                      <c:pt idx="11">
                        <c:v>45489</c:v>
                      </c:pt>
                      <c:pt idx="12">
                        <c:v>45490</c:v>
                      </c:pt>
                      <c:pt idx="13">
                        <c:v>45491</c:v>
                      </c:pt>
                      <c:pt idx="14">
                        <c:v>45492</c:v>
                      </c:pt>
                      <c:pt idx="15">
                        <c:v>45495</c:v>
                      </c:pt>
                      <c:pt idx="16">
                        <c:v>45496</c:v>
                      </c:pt>
                      <c:pt idx="17">
                        <c:v>45497</c:v>
                      </c:pt>
                      <c:pt idx="18">
                        <c:v>45498</c:v>
                      </c:pt>
                      <c:pt idx="19">
                        <c:v>45499</c:v>
                      </c:pt>
                      <c:pt idx="20">
                        <c:v>45502</c:v>
                      </c:pt>
                      <c:pt idx="21">
                        <c:v>45503</c:v>
                      </c:pt>
                      <c:pt idx="22">
                        <c:v>45504</c:v>
                      </c:pt>
                      <c:pt idx="23">
                        <c:v>45505</c:v>
                      </c:pt>
                      <c:pt idx="24">
                        <c:v>45506</c:v>
                      </c:pt>
                      <c:pt idx="25">
                        <c:v>45509</c:v>
                      </c:pt>
                      <c:pt idx="26">
                        <c:v>45510</c:v>
                      </c:pt>
                      <c:pt idx="27">
                        <c:v>45511</c:v>
                      </c:pt>
                      <c:pt idx="28">
                        <c:v>45512</c:v>
                      </c:pt>
                      <c:pt idx="29">
                        <c:v>45513</c:v>
                      </c:pt>
                      <c:pt idx="30">
                        <c:v>45516</c:v>
                      </c:pt>
                      <c:pt idx="31">
                        <c:v>45517</c:v>
                      </c:pt>
                      <c:pt idx="32">
                        <c:v>45518</c:v>
                      </c:pt>
                      <c:pt idx="33">
                        <c:v>45519</c:v>
                      </c:pt>
                      <c:pt idx="34">
                        <c:v>45520</c:v>
                      </c:pt>
                      <c:pt idx="35">
                        <c:v>45523</c:v>
                      </c:pt>
                      <c:pt idx="36">
                        <c:v>45524</c:v>
                      </c:pt>
                      <c:pt idx="37">
                        <c:v>45525</c:v>
                      </c:pt>
                      <c:pt idx="38">
                        <c:v>45526</c:v>
                      </c:pt>
                      <c:pt idx="39">
                        <c:v>45527</c:v>
                      </c:pt>
                      <c:pt idx="40">
                        <c:v>45530</c:v>
                      </c:pt>
                      <c:pt idx="41">
                        <c:v>45531</c:v>
                      </c:pt>
                      <c:pt idx="42">
                        <c:v>45532</c:v>
                      </c:pt>
                      <c:pt idx="43">
                        <c:v>45533</c:v>
                      </c:pt>
                      <c:pt idx="44">
                        <c:v>45534</c:v>
                      </c:pt>
                      <c:pt idx="45">
                        <c:v>45537</c:v>
                      </c:pt>
                      <c:pt idx="46">
                        <c:v>45538</c:v>
                      </c:pt>
                      <c:pt idx="47">
                        <c:v>45539</c:v>
                      </c:pt>
                      <c:pt idx="48">
                        <c:v>45540</c:v>
                      </c:pt>
                      <c:pt idx="49">
                        <c:v>45541</c:v>
                      </c:pt>
                      <c:pt idx="50">
                        <c:v>45544</c:v>
                      </c:pt>
                      <c:pt idx="51">
                        <c:v>45545</c:v>
                      </c:pt>
                      <c:pt idx="52">
                        <c:v>45546</c:v>
                      </c:pt>
                      <c:pt idx="53">
                        <c:v>45547</c:v>
                      </c:pt>
                      <c:pt idx="54">
                        <c:v>45548</c:v>
                      </c:pt>
                      <c:pt idx="55">
                        <c:v>45551</c:v>
                      </c:pt>
                      <c:pt idx="56">
                        <c:v>45552</c:v>
                      </c:pt>
                      <c:pt idx="57">
                        <c:v>45553</c:v>
                      </c:pt>
                      <c:pt idx="58">
                        <c:v>45554</c:v>
                      </c:pt>
                      <c:pt idx="59">
                        <c:v>45555</c:v>
                      </c:pt>
                      <c:pt idx="60">
                        <c:v>45558</c:v>
                      </c:pt>
                      <c:pt idx="61">
                        <c:v>45559</c:v>
                      </c:pt>
                      <c:pt idx="62">
                        <c:v>45560</c:v>
                      </c:pt>
                      <c:pt idx="63">
                        <c:v>45561</c:v>
                      </c:pt>
                      <c:pt idx="64">
                        <c:v>45562</c:v>
                      </c:pt>
                      <c:pt idx="65">
                        <c:v>45565</c:v>
                      </c:pt>
                      <c:pt idx="66">
                        <c:v>45566</c:v>
                      </c:pt>
                      <c:pt idx="67">
                        <c:v>45567</c:v>
                      </c:pt>
                      <c:pt idx="68">
                        <c:v>45568</c:v>
                      </c:pt>
                      <c:pt idx="69">
                        <c:v>45569</c:v>
                      </c:pt>
                      <c:pt idx="70">
                        <c:v>45572</c:v>
                      </c:pt>
                      <c:pt idx="71">
                        <c:v>45573</c:v>
                      </c:pt>
                      <c:pt idx="72">
                        <c:v>45574</c:v>
                      </c:pt>
                      <c:pt idx="73">
                        <c:v>45575</c:v>
                      </c:pt>
                      <c:pt idx="74">
                        <c:v>45576</c:v>
                      </c:pt>
                      <c:pt idx="75">
                        <c:v>45579</c:v>
                      </c:pt>
                      <c:pt idx="76">
                        <c:v>45580</c:v>
                      </c:pt>
                      <c:pt idx="77">
                        <c:v>45581</c:v>
                      </c:pt>
                      <c:pt idx="78">
                        <c:v>45582</c:v>
                      </c:pt>
                      <c:pt idx="79">
                        <c:v>45583</c:v>
                      </c:pt>
                      <c:pt idx="80">
                        <c:v>45586</c:v>
                      </c:pt>
                      <c:pt idx="81">
                        <c:v>45587</c:v>
                      </c:pt>
                      <c:pt idx="82">
                        <c:v>45588</c:v>
                      </c:pt>
                      <c:pt idx="83">
                        <c:v>45589</c:v>
                      </c:pt>
                      <c:pt idx="84">
                        <c:v>45590</c:v>
                      </c:pt>
                      <c:pt idx="85">
                        <c:v>45593</c:v>
                      </c:pt>
                      <c:pt idx="86">
                        <c:v>45594</c:v>
                      </c:pt>
                      <c:pt idx="87">
                        <c:v>45595</c:v>
                      </c:pt>
                      <c:pt idx="88">
                        <c:v>45596</c:v>
                      </c:pt>
                      <c:pt idx="89">
                        <c:v>45597</c:v>
                      </c:pt>
                      <c:pt idx="90">
                        <c:v>45600</c:v>
                      </c:pt>
                      <c:pt idx="91">
                        <c:v>45601</c:v>
                      </c:pt>
                      <c:pt idx="92">
                        <c:v>45602</c:v>
                      </c:pt>
                      <c:pt idx="93">
                        <c:v>45603</c:v>
                      </c:pt>
                      <c:pt idx="94">
                        <c:v>45604</c:v>
                      </c:pt>
                      <c:pt idx="95">
                        <c:v>45607</c:v>
                      </c:pt>
                      <c:pt idx="96">
                        <c:v>45608</c:v>
                      </c:pt>
                      <c:pt idx="97">
                        <c:v>45609</c:v>
                      </c:pt>
                      <c:pt idx="98">
                        <c:v>45610</c:v>
                      </c:pt>
                      <c:pt idx="99">
                        <c:v>45611</c:v>
                      </c:pt>
                      <c:pt idx="100">
                        <c:v>45614</c:v>
                      </c:pt>
                      <c:pt idx="101">
                        <c:v>45615</c:v>
                      </c:pt>
                      <c:pt idx="102">
                        <c:v>45616</c:v>
                      </c:pt>
                      <c:pt idx="103">
                        <c:v>45617</c:v>
                      </c:pt>
                      <c:pt idx="104">
                        <c:v>45618</c:v>
                      </c:pt>
                      <c:pt idx="105">
                        <c:v>45621</c:v>
                      </c:pt>
                      <c:pt idx="106">
                        <c:v>45622</c:v>
                      </c:pt>
                      <c:pt idx="107">
                        <c:v>45623</c:v>
                      </c:pt>
                      <c:pt idx="108">
                        <c:v>45624</c:v>
                      </c:pt>
                      <c:pt idx="109">
                        <c:v>45625</c:v>
                      </c:pt>
                      <c:pt idx="110">
                        <c:v>45628</c:v>
                      </c:pt>
                      <c:pt idx="111">
                        <c:v>45629</c:v>
                      </c:pt>
                      <c:pt idx="112">
                        <c:v>45630</c:v>
                      </c:pt>
                      <c:pt idx="113">
                        <c:v>45631</c:v>
                      </c:pt>
                      <c:pt idx="114">
                        <c:v>45632</c:v>
                      </c:pt>
                      <c:pt idx="115">
                        <c:v>45635</c:v>
                      </c:pt>
                      <c:pt idx="116">
                        <c:v>45636</c:v>
                      </c:pt>
                      <c:pt idx="117">
                        <c:v>45637</c:v>
                      </c:pt>
                      <c:pt idx="118">
                        <c:v>45638</c:v>
                      </c:pt>
                      <c:pt idx="119">
                        <c:v>45639</c:v>
                      </c:pt>
                      <c:pt idx="120">
                        <c:v>45642</c:v>
                      </c:pt>
                      <c:pt idx="121">
                        <c:v>45643</c:v>
                      </c:pt>
                      <c:pt idx="122">
                        <c:v>45644</c:v>
                      </c:pt>
                      <c:pt idx="123">
                        <c:v>45645</c:v>
                      </c:pt>
                      <c:pt idx="124">
                        <c:v>45646</c:v>
                      </c:pt>
                      <c:pt idx="125">
                        <c:v>45649</c:v>
                      </c:pt>
                      <c:pt idx="126">
                        <c:v>45650</c:v>
                      </c:pt>
                      <c:pt idx="127">
                        <c:v>45653</c:v>
                      </c:pt>
                      <c:pt idx="128">
                        <c:v>45656</c:v>
                      </c:pt>
                      <c:pt idx="129">
                        <c:v>45657</c:v>
                      </c:pt>
                      <c:pt idx="130">
                        <c:v>45659</c:v>
                      </c:pt>
                      <c:pt idx="131">
                        <c:v>45660</c:v>
                      </c:pt>
                      <c:pt idx="132">
                        <c:v>45663</c:v>
                      </c:pt>
                      <c:pt idx="133">
                        <c:v>45664</c:v>
                      </c:pt>
                      <c:pt idx="134">
                        <c:v>45665</c:v>
                      </c:pt>
                      <c:pt idx="135">
                        <c:v>45666</c:v>
                      </c:pt>
                      <c:pt idx="136">
                        <c:v>45667</c:v>
                      </c:pt>
                      <c:pt idx="137">
                        <c:v>45670</c:v>
                      </c:pt>
                      <c:pt idx="138">
                        <c:v>45671</c:v>
                      </c:pt>
                      <c:pt idx="139">
                        <c:v>45672</c:v>
                      </c:pt>
                      <c:pt idx="140">
                        <c:v>45673</c:v>
                      </c:pt>
                      <c:pt idx="141">
                        <c:v>45674</c:v>
                      </c:pt>
                      <c:pt idx="142">
                        <c:v>45677</c:v>
                      </c:pt>
                      <c:pt idx="143">
                        <c:v>45678</c:v>
                      </c:pt>
                      <c:pt idx="144">
                        <c:v>45679</c:v>
                      </c:pt>
                      <c:pt idx="145">
                        <c:v>45680</c:v>
                      </c:pt>
                      <c:pt idx="146">
                        <c:v>45681</c:v>
                      </c:pt>
                      <c:pt idx="147">
                        <c:v>45685</c:v>
                      </c:pt>
                      <c:pt idx="148">
                        <c:v>45686</c:v>
                      </c:pt>
                      <c:pt idx="149">
                        <c:v>45687</c:v>
                      </c:pt>
                      <c:pt idx="150">
                        <c:v>45688</c:v>
                      </c:pt>
                      <c:pt idx="151">
                        <c:v>45691</c:v>
                      </c:pt>
                      <c:pt idx="152">
                        <c:v>45692</c:v>
                      </c:pt>
                      <c:pt idx="153">
                        <c:v>45693</c:v>
                      </c:pt>
                      <c:pt idx="154">
                        <c:v>45694</c:v>
                      </c:pt>
                      <c:pt idx="155">
                        <c:v>45695</c:v>
                      </c:pt>
                      <c:pt idx="156">
                        <c:v>45698</c:v>
                      </c:pt>
                      <c:pt idx="157">
                        <c:v>45699</c:v>
                      </c:pt>
                      <c:pt idx="158">
                        <c:v>45700</c:v>
                      </c:pt>
                      <c:pt idx="159">
                        <c:v>45701</c:v>
                      </c:pt>
                      <c:pt idx="160">
                        <c:v>45702</c:v>
                      </c:pt>
                      <c:pt idx="161">
                        <c:v>45705</c:v>
                      </c:pt>
                      <c:pt idx="162">
                        <c:v>45706</c:v>
                      </c:pt>
                      <c:pt idx="163">
                        <c:v>45707</c:v>
                      </c:pt>
                      <c:pt idx="164">
                        <c:v>45708</c:v>
                      </c:pt>
                      <c:pt idx="165">
                        <c:v>45709</c:v>
                      </c:pt>
                      <c:pt idx="166">
                        <c:v>45712</c:v>
                      </c:pt>
                      <c:pt idx="167">
                        <c:v>45713</c:v>
                      </c:pt>
                      <c:pt idx="168">
                        <c:v>45714</c:v>
                      </c:pt>
                      <c:pt idx="169">
                        <c:v>45715</c:v>
                      </c:pt>
                      <c:pt idx="170">
                        <c:v>45716</c:v>
                      </c:pt>
                      <c:pt idx="171">
                        <c:v>45719</c:v>
                      </c:pt>
                      <c:pt idx="172">
                        <c:v>45720</c:v>
                      </c:pt>
                      <c:pt idx="173">
                        <c:v>45721</c:v>
                      </c:pt>
                      <c:pt idx="174">
                        <c:v>45722</c:v>
                      </c:pt>
                      <c:pt idx="175">
                        <c:v>45723</c:v>
                      </c:pt>
                      <c:pt idx="176">
                        <c:v>45726</c:v>
                      </c:pt>
                      <c:pt idx="177">
                        <c:v>45727</c:v>
                      </c:pt>
                      <c:pt idx="178">
                        <c:v>45728</c:v>
                      </c:pt>
                      <c:pt idx="179">
                        <c:v>45729</c:v>
                      </c:pt>
                      <c:pt idx="180">
                        <c:v>45730</c:v>
                      </c:pt>
                      <c:pt idx="181">
                        <c:v>45733</c:v>
                      </c:pt>
                      <c:pt idx="182">
                        <c:v>45734</c:v>
                      </c:pt>
                      <c:pt idx="183">
                        <c:v>45735</c:v>
                      </c:pt>
                      <c:pt idx="184">
                        <c:v>45736</c:v>
                      </c:pt>
                      <c:pt idx="185">
                        <c:v>45737</c:v>
                      </c:pt>
                      <c:pt idx="186">
                        <c:v>45740</c:v>
                      </c:pt>
                      <c:pt idx="187">
                        <c:v>45741</c:v>
                      </c:pt>
                      <c:pt idx="188">
                        <c:v>45742</c:v>
                      </c:pt>
                      <c:pt idx="189">
                        <c:v>45743</c:v>
                      </c:pt>
                      <c:pt idx="190">
                        <c:v>45744</c:v>
                      </c:pt>
                      <c:pt idx="191">
                        <c:v>45747</c:v>
                      </c:pt>
                      <c:pt idx="192">
                        <c:v>45748</c:v>
                      </c:pt>
                      <c:pt idx="193">
                        <c:v>45749</c:v>
                      </c:pt>
                      <c:pt idx="194">
                        <c:v>45750</c:v>
                      </c:pt>
                      <c:pt idx="195">
                        <c:v>45751</c:v>
                      </c:pt>
                      <c:pt idx="196">
                        <c:v>45754</c:v>
                      </c:pt>
                      <c:pt idx="197">
                        <c:v>45755</c:v>
                      </c:pt>
                      <c:pt idx="198">
                        <c:v>45756</c:v>
                      </c:pt>
                      <c:pt idx="199">
                        <c:v>45757</c:v>
                      </c:pt>
                      <c:pt idx="200">
                        <c:v>45758</c:v>
                      </c:pt>
                      <c:pt idx="201">
                        <c:v>45761</c:v>
                      </c:pt>
                      <c:pt idx="202">
                        <c:v>45762</c:v>
                      </c:pt>
                      <c:pt idx="203">
                        <c:v>45763</c:v>
                      </c:pt>
                      <c:pt idx="204">
                        <c:v>45764</c:v>
                      </c:pt>
                      <c:pt idx="205">
                        <c:v>45769</c:v>
                      </c:pt>
                      <c:pt idx="206">
                        <c:v>45770</c:v>
                      </c:pt>
                      <c:pt idx="207">
                        <c:v>45771</c:v>
                      </c:pt>
                      <c:pt idx="208">
                        <c:v>45775</c:v>
                      </c:pt>
                      <c:pt idx="209">
                        <c:v>45776</c:v>
                      </c:pt>
                      <c:pt idx="210">
                        <c:v>45777</c:v>
                      </c:pt>
                      <c:pt idx="211">
                        <c:v>45778</c:v>
                      </c:pt>
                      <c:pt idx="212">
                        <c:v>45779</c:v>
                      </c:pt>
                      <c:pt idx="213">
                        <c:v>45782</c:v>
                      </c:pt>
                      <c:pt idx="214">
                        <c:v>45783</c:v>
                      </c:pt>
                      <c:pt idx="215">
                        <c:v>45784</c:v>
                      </c:pt>
                      <c:pt idx="216">
                        <c:v>45785</c:v>
                      </c:pt>
                      <c:pt idx="217">
                        <c:v>45786</c:v>
                      </c:pt>
                      <c:pt idx="218">
                        <c:v>45789</c:v>
                      </c:pt>
                      <c:pt idx="219">
                        <c:v>45790</c:v>
                      </c:pt>
                      <c:pt idx="220">
                        <c:v>45791</c:v>
                      </c:pt>
                      <c:pt idx="221">
                        <c:v>45792</c:v>
                      </c:pt>
                      <c:pt idx="222">
                        <c:v>45793</c:v>
                      </c:pt>
                      <c:pt idx="223">
                        <c:v>45796</c:v>
                      </c:pt>
                      <c:pt idx="224">
                        <c:v>45797</c:v>
                      </c:pt>
                      <c:pt idx="225">
                        <c:v>45798</c:v>
                      </c:pt>
                      <c:pt idx="226">
                        <c:v>45799</c:v>
                      </c:pt>
                      <c:pt idx="227">
                        <c:v>45800</c:v>
                      </c:pt>
                      <c:pt idx="228">
                        <c:v>45803</c:v>
                      </c:pt>
                      <c:pt idx="229">
                        <c:v>45804</c:v>
                      </c:pt>
                      <c:pt idx="230">
                        <c:v>45805</c:v>
                      </c:pt>
                      <c:pt idx="231">
                        <c:v>45806</c:v>
                      </c:pt>
                      <c:pt idx="232">
                        <c:v>45807</c:v>
                      </c:pt>
                      <c:pt idx="233">
                        <c:v>45810</c:v>
                      </c:pt>
                      <c:pt idx="234">
                        <c:v>45811</c:v>
                      </c:pt>
                      <c:pt idx="235">
                        <c:v>45812</c:v>
                      </c:pt>
                      <c:pt idx="236">
                        <c:v>45813</c:v>
                      </c:pt>
                      <c:pt idx="237">
                        <c:v>45814</c:v>
                      </c:pt>
                      <c:pt idx="238">
                        <c:v>45818</c:v>
                      </c:pt>
                      <c:pt idx="239">
                        <c:v>45819</c:v>
                      </c:pt>
                      <c:pt idx="240">
                        <c:v>45820</c:v>
                      </c:pt>
                      <c:pt idx="241">
                        <c:v>45821</c:v>
                      </c:pt>
                      <c:pt idx="242">
                        <c:v>45824</c:v>
                      </c:pt>
                      <c:pt idx="243">
                        <c:v>45825</c:v>
                      </c:pt>
                      <c:pt idx="244">
                        <c:v>45826</c:v>
                      </c:pt>
                      <c:pt idx="245">
                        <c:v>45827</c:v>
                      </c:pt>
                      <c:pt idx="246">
                        <c:v>45828</c:v>
                      </c:pt>
                      <c:pt idx="247">
                        <c:v>45831</c:v>
                      </c:pt>
                      <c:pt idx="248">
                        <c:v>45832</c:v>
                      </c:pt>
                      <c:pt idx="249">
                        <c:v>45833</c:v>
                      </c:pt>
                      <c:pt idx="250">
                        <c:v>45834</c:v>
                      </c:pt>
                      <c:pt idx="251">
                        <c:v>45835</c:v>
                      </c:pt>
                      <c:pt idx="252">
                        <c:v>45838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'Yearly Portfolio'!$B$2:$B$254</c15:sqref>
                        </c15:formulaRef>
                      </c:ext>
                    </c:extLst>
                    <c:numCache>
                      <c:formatCode>#,##0.00##</c:formatCode>
                      <c:ptCount val="253"/>
                      <c:pt idx="0">
                        <c:v>4.95</c:v>
                      </c:pt>
                      <c:pt idx="1">
                        <c:v>4.96</c:v>
                      </c:pt>
                      <c:pt idx="2">
                        <c:v>4.8099999999999996</c:v>
                      </c:pt>
                      <c:pt idx="3">
                        <c:v>4.84</c:v>
                      </c:pt>
                      <c:pt idx="4">
                        <c:v>4.82</c:v>
                      </c:pt>
                      <c:pt idx="5">
                        <c:v>4.8099999999999996</c:v>
                      </c:pt>
                      <c:pt idx="6">
                        <c:v>4.91</c:v>
                      </c:pt>
                      <c:pt idx="7">
                        <c:v>4.91</c:v>
                      </c:pt>
                      <c:pt idx="8">
                        <c:v>5</c:v>
                      </c:pt>
                      <c:pt idx="9">
                        <c:v>5.08</c:v>
                      </c:pt>
                      <c:pt idx="10">
                        <c:v>4.95</c:v>
                      </c:pt>
                      <c:pt idx="11">
                        <c:v>5.19</c:v>
                      </c:pt>
                      <c:pt idx="12">
                        <c:v>5.38</c:v>
                      </c:pt>
                      <c:pt idx="13">
                        <c:v>5.46</c:v>
                      </c:pt>
                      <c:pt idx="14">
                        <c:v>5.75</c:v>
                      </c:pt>
                      <c:pt idx="15">
                        <c:v>5.77</c:v>
                      </c:pt>
                      <c:pt idx="16">
                        <c:v>5.88</c:v>
                      </c:pt>
                      <c:pt idx="17">
                        <c:v>5.9</c:v>
                      </c:pt>
                      <c:pt idx="18">
                        <c:v>5.75</c:v>
                      </c:pt>
                      <c:pt idx="19">
                        <c:v>5.65</c:v>
                      </c:pt>
                      <c:pt idx="20">
                        <c:v>5.8</c:v>
                      </c:pt>
                      <c:pt idx="21">
                        <c:v>5.75</c:v>
                      </c:pt>
                      <c:pt idx="22">
                        <c:v>5.82</c:v>
                      </c:pt>
                      <c:pt idx="23">
                        <c:v>6.03</c:v>
                      </c:pt>
                      <c:pt idx="24">
                        <c:v>5.99</c:v>
                      </c:pt>
                      <c:pt idx="25">
                        <c:v>5.65</c:v>
                      </c:pt>
                      <c:pt idx="26">
                        <c:v>5.85</c:v>
                      </c:pt>
                      <c:pt idx="27">
                        <c:v>5.94</c:v>
                      </c:pt>
                      <c:pt idx="28">
                        <c:v>5.82</c:v>
                      </c:pt>
                      <c:pt idx="29">
                        <c:v>5.89</c:v>
                      </c:pt>
                      <c:pt idx="30">
                        <c:v>6.01</c:v>
                      </c:pt>
                      <c:pt idx="31">
                        <c:v>6.15</c:v>
                      </c:pt>
                      <c:pt idx="32">
                        <c:v>6.09</c:v>
                      </c:pt>
                      <c:pt idx="33">
                        <c:v>6.1</c:v>
                      </c:pt>
                      <c:pt idx="34">
                        <c:v>6.1</c:v>
                      </c:pt>
                      <c:pt idx="35">
                        <c:v>6.07</c:v>
                      </c:pt>
                      <c:pt idx="36">
                        <c:v>6.42</c:v>
                      </c:pt>
                      <c:pt idx="37">
                        <c:v>6.34</c:v>
                      </c:pt>
                      <c:pt idx="38">
                        <c:v>7.05</c:v>
                      </c:pt>
                      <c:pt idx="39">
                        <c:v>6.88</c:v>
                      </c:pt>
                      <c:pt idx="40">
                        <c:v>7</c:v>
                      </c:pt>
                      <c:pt idx="41">
                        <c:v>7</c:v>
                      </c:pt>
                      <c:pt idx="42">
                        <c:v>6.99</c:v>
                      </c:pt>
                      <c:pt idx="43">
                        <c:v>6.88</c:v>
                      </c:pt>
                      <c:pt idx="44">
                        <c:v>6.94</c:v>
                      </c:pt>
                      <c:pt idx="45">
                        <c:v>7</c:v>
                      </c:pt>
                      <c:pt idx="46">
                        <c:v>6.98</c:v>
                      </c:pt>
                      <c:pt idx="47">
                        <c:v>6.82</c:v>
                      </c:pt>
                      <c:pt idx="48">
                        <c:v>6.78</c:v>
                      </c:pt>
                      <c:pt idx="49">
                        <c:v>6.85</c:v>
                      </c:pt>
                      <c:pt idx="50">
                        <c:v>6.72</c:v>
                      </c:pt>
                      <c:pt idx="51">
                        <c:v>6.65</c:v>
                      </c:pt>
                      <c:pt idx="52">
                        <c:v>6.66</c:v>
                      </c:pt>
                      <c:pt idx="53">
                        <c:v>6.7</c:v>
                      </c:pt>
                      <c:pt idx="54">
                        <c:v>6.67</c:v>
                      </c:pt>
                      <c:pt idx="55">
                        <c:v>6.7</c:v>
                      </c:pt>
                      <c:pt idx="56">
                        <c:v>6.7</c:v>
                      </c:pt>
                      <c:pt idx="57">
                        <c:v>6.75</c:v>
                      </c:pt>
                      <c:pt idx="58">
                        <c:v>6.76</c:v>
                      </c:pt>
                      <c:pt idx="59">
                        <c:v>6.91</c:v>
                      </c:pt>
                      <c:pt idx="60">
                        <c:v>7.04</c:v>
                      </c:pt>
                      <c:pt idx="61">
                        <c:v>7.08</c:v>
                      </c:pt>
                      <c:pt idx="62">
                        <c:v>7.09</c:v>
                      </c:pt>
                      <c:pt idx="63">
                        <c:v>7.3</c:v>
                      </c:pt>
                      <c:pt idx="64">
                        <c:v>7.31</c:v>
                      </c:pt>
                      <c:pt idx="65">
                        <c:v>7.5</c:v>
                      </c:pt>
                      <c:pt idx="66">
                        <c:v>7.64</c:v>
                      </c:pt>
                      <c:pt idx="67">
                        <c:v>7.7</c:v>
                      </c:pt>
                      <c:pt idx="68">
                        <c:v>7.75</c:v>
                      </c:pt>
                      <c:pt idx="69">
                        <c:v>7.6</c:v>
                      </c:pt>
                      <c:pt idx="70">
                        <c:v>7.7</c:v>
                      </c:pt>
                      <c:pt idx="71">
                        <c:v>7.65</c:v>
                      </c:pt>
                      <c:pt idx="72">
                        <c:v>7.75</c:v>
                      </c:pt>
                      <c:pt idx="73">
                        <c:v>7.7</c:v>
                      </c:pt>
                      <c:pt idx="74">
                        <c:v>7.71</c:v>
                      </c:pt>
                      <c:pt idx="75">
                        <c:v>7.62</c:v>
                      </c:pt>
                      <c:pt idx="76">
                        <c:v>8.0299999999999994</c:v>
                      </c:pt>
                      <c:pt idx="77">
                        <c:v>8.1199999999999992</c:v>
                      </c:pt>
                      <c:pt idx="78">
                        <c:v>8.09</c:v>
                      </c:pt>
                      <c:pt idx="79">
                        <c:v>8.16</c:v>
                      </c:pt>
                      <c:pt idx="80">
                        <c:v>8.25</c:v>
                      </c:pt>
                      <c:pt idx="81">
                        <c:v>8.25</c:v>
                      </c:pt>
                      <c:pt idx="82">
                        <c:v>8.2100000000000009</c:v>
                      </c:pt>
                      <c:pt idx="83">
                        <c:v>7.96</c:v>
                      </c:pt>
                      <c:pt idx="84">
                        <c:v>7.98</c:v>
                      </c:pt>
                      <c:pt idx="85">
                        <c:v>8.19</c:v>
                      </c:pt>
                      <c:pt idx="86">
                        <c:v>8.33</c:v>
                      </c:pt>
                      <c:pt idx="87">
                        <c:v>7.99</c:v>
                      </c:pt>
                      <c:pt idx="88">
                        <c:v>7.88</c:v>
                      </c:pt>
                      <c:pt idx="89">
                        <c:v>7.8</c:v>
                      </c:pt>
                      <c:pt idx="90">
                        <c:v>7.65</c:v>
                      </c:pt>
                      <c:pt idx="91">
                        <c:v>7.64</c:v>
                      </c:pt>
                      <c:pt idx="92">
                        <c:v>7.68</c:v>
                      </c:pt>
                      <c:pt idx="93">
                        <c:v>7.61</c:v>
                      </c:pt>
                      <c:pt idx="94">
                        <c:v>7.73</c:v>
                      </c:pt>
                      <c:pt idx="95">
                        <c:v>7.73</c:v>
                      </c:pt>
                      <c:pt idx="96">
                        <c:v>7.83</c:v>
                      </c:pt>
                      <c:pt idx="97">
                        <c:v>7.78</c:v>
                      </c:pt>
                      <c:pt idx="98">
                        <c:v>7.75</c:v>
                      </c:pt>
                      <c:pt idx="99">
                        <c:v>7.92</c:v>
                      </c:pt>
                      <c:pt idx="100">
                        <c:v>7.91</c:v>
                      </c:pt>
                      <c:pt idx="101">
                        <c:v>8.01</c:v>
                      </c:pt>
                      <c:pt idx="102">
                        <c:v>7.77</c:v>
                      </c:pt>
                      <c:pt idx="103">
                        <c:v>7.46</c:v>
                      </c:pt>
                      <c:pt idx="104">
                        <c:v>7.44</c:v>
                      </c:pt>
                      <c:pt idx="105">
                        <c:v>7.46</c:v>
                      </c:pt>
                      <c:pt idx="106">
                        <c:v>7.66</c:v>
                      </c:pt>
                      <c:pt idx="107">
                        <c:v>7.66</c:v>
                      </c:pt>
                      <c:pt idx="108">
                        <c:v>7.55</c:v>
                      </c:pt>
                      <c:pt idx="109">
                        <c:v>7.8</c:v>
                      </c:pt>
                      <c:pt idx="110">
                        <c:v>7.66</c:v>
                      </c:pt>
                      <c:pt idx="111">
                        <c:v>7.9</c:v>
                      </c:pt>
                      <c:pt idx="112">
                        <c:v>8.08</c:v>
                      </c:pt>
                      <c:pt idx="113">
                        <c:v>8.14</c:v>
                      </c:pt>
                      <c:pt idx="114">
                        <c:v>8.06</c:v>
                      </c:pt>
                      <c:pt idx="115">
                        <c:v>8</c:v>
                      </c:pt>
                      <c:pt idx="116">
                        <c:v>7.82</c:v>
                      </c:pt>
                      <c:pt idx="117">
                        <c:v>7.74</c:v>
                      </c:pt>
                      <c:pt idx="118">
                        <c:v>7.79</c:v>
                      </c:pt>
                      <c:pt idx="119">
                        <c:v>7.73</c:v>
                      </c:pt>
                      <c:pt idx="120">
                        <c:v>7.78</c:v>
                      </c:pt>
                      <c:pt idx="121">
                        <c:v>8.02</c:v>
                      </c:pt>
                      <c:pt idx="122">
                        <c:v>8.0399999999999991</c:v>
                      </c:pt>
                      <c:pt idx="123">
                        <c:v>7.94</c:v>
                      </c:pt>
                      <c:pt idx="124">
                        <c:v>7.97</c:v>
                      </c:pt>
                      <c:pt idx="125">
                        <c:v>8.02</c:v>
                      </c:pt>
                      <c:pt idx="126">
                        <c:v>8.14</c:v>
                      </c:pt>
                      <c:pt idx="127">
                        <c:v>8.39</c:v>
                      </c:pt>
                      <c:pt idx="128">
                        <c:v>8.31</c:v>
                      </c:pt>
                      <c:pt idx="129">
                        <c:v>8.58</c:v>
                      </c:pt>
                      <c:pt idx="130">
                        <c:v>8.1</c:v>
                      </c:pt>
                      <c:pt idx="131">
                        <c:v>8.18</c:v>
                      </c:pt>
                      <c:pt idx="132">
                        <c:v>8.25</c:v>
                      </c:pt>
                      <c:pt idx="133">
                        <c:v>8.44</c:v>
                      </c:pt>
                      <c:pt idx="134">
                        <c:v>8.3800000000000008</c:v>
                      </c:pt>
                      <c:pt idx="135">
                        <c:v>8.43</c:v>
                      </c:pt>
                      <c:pt idx="136">
                        <c:v>8.4</c:v>
                      </c:pt>
                      <c:pt idx="137">
                        <c:v>8.11</c:v>
                      </c:pt>
                      <c:pt idx="138">
                        <c:v>8.0299999999999994</c:v>
                      </c:pt>
                      <c:pt idx="139">
                        <c:v>7.8</c:v>
                      </c:pt>
                      <c:pt idx="140">
                        <c:v>7.76</c:v>
                      </c:pt>
                      <c:pt idx="141">
                        <c:v>7.72</c:v>
                      </c:pt>
                      <c:pt idx="142">
                        <c:v>7.91</c:v>
                      </c:pt>
                      <c:pt idx="143">
                        <c:v>8.1</c:v>
                      </c:pt>
                      <c:pt idx="144">
                        <c:v>8.27</c:v>
                      </c:pt>
                      <c:pt idx="145">
                        <c:v>8.1</c:v>
                      </c:pt>
                      <c:pt idx="146">
                        <c:v>8.4</c:v>
                      </c:pt>
                      <c:pt idx="147">
                        <c:v>8.39</c:v>
                      </c:pt>
                      <c:pt idx="148">
                        <c:v>8.4499999999999993</c:v>
                      </c:pt>
                      <c:pt idx="149">
                        <c:v>8.4</c:v>
                      </c:pt>
                      <c:pt idx="150">
                        <c:v>8.52</c:v>
                      </c:pt>
                      <c:pt idx="151">
                        <c:v>8.17</c:v>
                      </c:pt>
                      <c:pt idx="152">
                        <c:v>8.11</c:v>
                      </c:pt>
                      <c:pt idx="153">
                        <c:v>8.09</c:v>
                      </c:pt>
                      <c:pt idx="154">
                        <c:v>8.3000000000000007</c:v>
                      </c:pt>
                      <c:pt idx="155">
                        <c:v>8.4700000000000006</c:v>
                      </c:pt>
                      <c:pt idx="156">
                        <c:v>8.19</c:v>
                      </c:pt>
                      <c:pt idx="157">
                        <c:v>8.19</c:v>
                      </c:pt>
                      <c:pt idx="158">
                        <c:v>8.16</c:v>
                      </c:pt>
                      <c:pt idx="159">
                        <c:v>8.16</c:v>
                      </c:pt>
                      <c:pt idx="160">
                        <c:v>8.3000000000000007</c:v>
                      </c:pt>
                      <c:pt idx="161">
                        <c:v>8.4</c:v>
                      </c:pt>
                      <c:pt idx="162">
                        <c:v>8.43</c:v>
                      </c:pt>
                      <c:pt idx="163">
                        <c:v>8.48</c:v>
                      </c:pt>
                      <c:pt idx="164">
                        <c:v>9.3000000000000007</c:v>
                      </c:pt>
                      <c:pt idx="165">
                        <c:v>9.17</c:v>
                      </c:pt>
                      <c:pt idx="166">
                        <c:v>8.85</c:v>
                      </c:pt>
                      <c:pt idx="167">
                        <c:v>8.69</c:v>
                      </c:pt>
                      <c:pt idx="168">
                        <c:v>8.86</c:v>
                      </c:pt>
                      <c:pt idx="169">
                        <c:v>8.94</c:v>
                      </c:pt>
                      <c:pt idx="170">
                        <c:v>8.6999999999999993</c:v>
                      </c:pt>
                      <c:pt idx="171">
                        <c:v>8.4499999999999993</c:v>
                      </c:pt>
                      <c:pt idx="172">
                        <c:v>8.36</c:v>
                      </c:pt>
                      <c:pt idx="173">
                        <c:v>8.4</c:v>
                      </c:pt>
                      <c:pt idx="174">
                        <c:v>8.14</c:v>
                      </c:pt>
                      <c:pt idx="175">
                        <c:v>7.93</c:v>
                      </c:pt>
                      <c:pt idx="176">
                        <c:v>8.02</c:v>
                      </c:pt>
                      <c:pt idx="177">
                        <c:v>7.55</c:v>
                      </c:pt>
                      <c:pt idx="178">
                        <c:v>7.42</c:v>
                      </c:pt>
                      <c:pt idx="179">
                        <c:v>7.4</c:v>
                      </c:pt>
                      <c:pt idx="180">
                        <c:v>7.4</c:v>
                      </c:pt>
                      <c:pt idx="181">
                        <c:v>7.65</c:v>
                      </c:pt>
                      <c:pt idx="182">
                        <c:v>7.9</c:v>
                      </c:pt>
                      <c:pt idx="183">
                        <c:v>7.49</c:v>
                      </c:pt>
                      <c:pt idx="184">
                        <c:v>7.5</c:v>
                      </c:pt>
                      <c:pt idx="185">
                        <c:v>7.53</c:v>
                      </c:pt>
                      <c:pt idx="186">
                        <c:v>7.59</c:v>
                      </c:pt>
                      <c:pt idx="187">
                        <c:v>7.95</c:v>
                      </c:pt>
                      <c:pt idx="188">
                        <c:v>8.0399999999999991</c:v>
                      </c:pt>
                      <c:pt idx="189">
                        <c:v>8</c:v>
                      </c:pt>
                      <c:pt idx="190">
                        <c:v>8.1199999999999992</c:v>
                      </c:pt>
                      <c:pt idx="191">
                        <c:v>7.72</c:v>
                      </c:pt>
                      <c:pt idx="192">
                        <c:v>7.46</c:v>
                      </c:pt>
                      <c:pt idx="193">
                        <c:v>7.4</c:v>
                      </c:pt>
                      <c:pt idx="194">
                        <c:v>7.53</c:v>
                      </c:pt>
                      <c:pt idx="195">
                        <c:v>7.2</c:v>
                      </c:pt>
                      <c:pt idx="196">
                        <c:v>6.95</c:v>
                      </c:pt>
                      <c:pt idx="197">
                        <c:v>6.91</c:v>
                      </c:pt>
                      <c:pt idx="198">
                        <c:v>6.86</c:v>
                      </c:pt>
                      <c:pt idx="199">
                        <c:v>7.45</c:v>
                      </c:pt>
                      <c:pt idx="200">
                        <c:v>7.2</c:v>
                      </c:pt>
                      <c:pt idx="201">
                        <c:v>7.34</c:v>
                      </c:pt>
                      <c:pt idx="202">
                        <c:v>7.46</c:v>
                      </c:pt>
                      <c:pt idx="203">
                        <c:v>7.5</c:v>
                      </c:pt>
                      <c:pt idx="204">
                        <c:v>7.45</c:v>
                      </c:pt>
                      <c:pt idx="205">
                        <c:v>7.34</c:v>
                      </c:pt>
                      <c:pt idx="206">
                        <c:v>7.76</c:v>
                      </c:pt>
                      <c:pt idx="207">
                        <c:v>7.65</c:v>
                      </c:pt>
                      <c:pt idx="208">
                        <c:v>7.65</c:v>
                      </c:pt>
                      <c:pt idx="209">
                        <c:v>7.87</c:v>
                      </c:pt>
                      <c:pt idx="210">
                        <c:v>7.74</c:v>
                      </c:pt>
                      <c:pt idx="211">
                        <c:v>7.65</c:v>
                      </c:pt>
                      <c:pt idx="212">
                        <c:v>7.81</c:v>
                      </c:pt>
                      <c:pt idx="213">
                        <c:v>7.67</c:v>
                      </c:pt>
                      <c:pt idx="214">
                        <c:v>7.79</c:v>
                      </c:pt>
                      <c:pt idx="215">
                        <c:v>7.86</c:v>
                      </c:pt>
                      <c:pt idx="216">
                        <c:v>7.9</c:v>
                      </c:pt>
                      <c:pt idx="217">
                        <c:v>7.94</c:v>
                      </c:pt>
                      <c:pt idx="218">
                        <c:v>8.17</c:v>
                      </c:pt>
                      <c:pt idx="219">
                        <c:v>8.64</c:v>
                      </c:pt>
                      <c:pt idx="220">
                        <c:v>8.2899999999999991</c:v>
                      </c:pt>
                      <c:pt idx="221">
                        <c:v>8.4</c:v>
                      </c:pt>
                      <c:pt idx="222">
                        <c:v>8.35</c:v>
                      </c:pt>
                      <c:pt idx="223">
                        <c:v>8.16</c:v>
                      </c:pt>
                      <c:pt idx="224">
                        <c:v>8.18</c:v>
                      </c:pt>
                      <c:pt idx="225">
                        <c:v>7.71</c:v>
                      </c:pt>
                      <c:pt idx="226">
                        <c:v>7.61</c:v>
                      </c:pt>
                      <c:pt idx="227">
                        <c:v>7.65</c:v>
                      </c:pt>
                      <c:pt idx="228">
                        <c:v>7.42</c:v>
                      </c:pt>
                      <c:pt idx="229">
                        <c:v>7.28</c:v>
                      </c:pt>
                      <c:pt idx="230">
                        <c:v>7.49</c:v>
                      </c:pt>
                      <c:pt idx="231">
                        <c:v>7.51</c:v>
                      </c:pt>
                      <c:pt idx="232">
                        <c:v>7.77</c:v>
                      </c:pt>
                      <c:pt idx="233">
                        <c:v>7.58</c:v>
                      </c:pt>
                      <c:pt idx="234">
                        <c:v>7.6</c:v>
                      </c:pt>
                      <c:pt idx="235">
                        <c:v>7.88</c:v>
                      </c:pt>
                      <c:pt idx="236">
                        <c:v>7.85</c:v>
                      </c:pt>
                      <c:pt idx="237">
                        <c:v>7.85</c:v>
                      </c:pt>
                      <c:pt idx="238">
                        <c:v>7.84</c:v>
                      </c:pt>
                      <c:pt idx="239">
                        <c:v>7.76</c:v>
                      </c:pt>
                      <c:pt idx="240">
                        <c:v>7.58</c:v>
                      </c:pt>
                      <c:pt idx="241">
                        <c:v>7.4</c:v>
                      </c:pt>
                      <c:pt idx="242">
                        <c:v>7.46</c:v>
                      </c:pt>
                      <c:pt idx="243">
                        <c:v>7.78</c:v>
                      </c:pt>
                      <c:pt idx="244">
                        <c:v>7.59</c:v>
                      </c:pt>
                      <c:pt idx="245">
                        <c:v>7.43</c:v>
                      </c:pt>
                      <c:pt idx="246">
                        <c:v>7.38</c:v>
                      </c:pt>
                      <c:pt idx="247">
                        <c:v>7.36</c:v>
                      </c:pt>
                      <c:pt idx="248">
                        <c:v>7.27</c:v>
                      </c:pt>
                      <c:pt idx="249">
                        <c:v>7.35</c:v>
                      </c:pt>
                      <c:pt idx="250">
                        <c:v>7.44</c:v>
                      </c:pt>
                      <c:pt idx="251">
                        <c:v>7.61</c:v>
                      </c:pt>
                      <c:pt idx="252">
                        <c:v>7.78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08A-4E57-AC72-DDF1A6ACB51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'Yearly Portfolio'!$C$1</c15:sqref>
                        </c15:formulaRef>
                      </c:ext>
                    </c:extLst>
                    <c:strCache>
                      <c:ptCount val="1"/>
                      <c:pt idx="0">
                        <c:v>Market Value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'Yearly Portfolio'!$A$2:$A$254</c15:sqref>
                        </c15:formulaRef>
                      </c:ext>
                    </c:extLst>
                    <c:numCache>
                      <c:formatCode>m/d/yyyy</c:formatCode>
                      <c:ptCount val="253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45481</c:v>
                      </c:pt>
                      <c:pt idx="6">
                        <c:v>45482</c:v>
                      </c:pt>
                      <c:pt idx="7">
                        <c:v>45483</c:v>
                      </c:pt>
                      <c:pt idx="8">
                        <c:v>45484</c:v>
                      </c:pt>
                      <c:pt idx="9">
                        <c:v>45485</c:v>
                      </c:pt>
                      <c:pt idx="10">
                        <c:v>45488</c:v>
                      </c:pt>
                      <c:pt idx="11">
                        <c:v>45489</c:v>
                      </c:pt>
                      <c:pt idx="12">
                        <c:v>45490</c:v>
                      </c:pt>
                      <c:pt idx="13">
                        <c:v>45491</c:v>
                      </c:pt>
                      <c:pt idx="14">
                        <c:v>45492</c:v>
                      </c:pt>
                      <c:pt idx="15">
                        <c:v>45495</c:v>
                      </c:pt>
                      <c:pt idx="16">
                        <c:v>45496</c:v>
                      </c:pt>
                      <c:pt idx="17">
                        <c:v>45497</c:v>
                      </c:pt>
                      <c:pt idx="18">
                        <c:v>45498</c:v>
                      </c:pt>
                      <c:pt idx="19">
                        <c:v>45499</c:v>
                      </c:pt>
                      <c:pt idx="20">
                        <c:v>45502</c:v>
                      </c:pt>
                      <c:pt idx="21">
                        <c:v>45503</c:v>
                      </c:pt>
                      <c:pt idx="22">
                        <c:v>45504</c:v>
                      </c:pt>
                      <c:pt idx="23">
                        <c:v>45505</c:v>
                      </c:pt>
                      <c:pt idx="24">
                        <c:v>45506</c:v>
                      </c:pt>
                      <c:pt idx="25">
                        <c:v>45509</c:v>
                      </c:pt>
                      <c:pt idx="26">
                        <c:v>45510</c:v>
                      </c:pt>
                      <c:pt idx="27">
                        <c:v>45511</c:v>
                      </c:pt>
                      <c:pt idx="28">
                        <c:v>45512</c:v>
                      </c:pt>
                      <c:pt idx="29">
                        <c:v>45513</c:v>
                      </c:pt>
                      <c:pt idx="30">
                        <c:v>45516</c:v>
                      </c:pt>
                      <c:pt idx="31">
                        <c:v>45517</c:v>
                      </c:pt>
                      <c:pt idx="32">
                        <c:v>45518</c:v>
                      </c:pt>
                      <c:pt idx="33">
                        <c:v>45519</c:v>
                      </c:pt>
                      <c:pt idx="34">
                        <c:v>45520</c:v>
                      </c:pt>
                      <c:pt idx="35">
                        <c:v>45523</c:v>
                      </c:pt>
                      <c:pt idx="36">
                        <c:v>45524</c:v>
                      </c:pt>
                      <c:pt idx="37">
                        <c:v>45525</c:v>
                      </c:pt>
                      <c:pt idx="38">
                        <c:v>45526</c:v>
                      </c:pt>
                      <c:pt idx="39">
                        <c:v>45527</c:v>
                      </c:pt>
                      <c:pt idx="40">
                        <c:v>45530</c:v>
                      </c:pt>
                      <c:pt idx="41">
                        <c:v>45531</c:v>
                      </c:pt>
                      <c:pt idx="42">
                        <c:v>45532</c:v>
                      </c:pt>
                      <c:pt idx="43">
                        <c:v>45533</c:v>
                      </c:pt>
                      <c:pt idx="44">
                        <c:v>45534</c:v>
                      </c:pt>
                      <c:pt idx="45">
                        <c:v>45537</c:v>
                      </c:pt>
                      <c:pt idx="46">
                        <c:v>45538</c:v>
                      </c:pt>
                      <c:pt idx="47">
                        <c:v>45539</c:v>
                      </c:pt>
                      <c:pt idx="48">
                        <c:v>45540</c:v>
                      </c:pt>
                      <c:pt idx="49">
                        <c:v>45541</c:v>
                      </c:pt>
                      <c:pt idx="50">
                        <c:v>45544</c:v>
                      </c:pt>
                      <c:pt idx="51">
                        <c:v>45545</c:v>
                      </c:pt>
                      <c:pt idx="52">
                        <c:v>45546</c:v>
                      </c:pt>
                      <c:pt idx="53">
                        <c:v>45547</c:v>
                      </c:pt>
                      <c:pt idx="54">
                        <c:v>45548</c:v>
                      </c:pt>
                      <c:pt idx="55">
                        <c:v>45551</c:v>
                      </c:pt>
                      <c:pt idx="56">
                        <c:v>45552</c:v>
                      </c:pt>
                      <c:pt idx="57">
                        <c:v>45553</c:v>
                      </c:pt>
                      <c:pt idx="58">
                        <c:v>45554</c:v>
                      </c:pt>
                      <c:pt idx="59">
                        <c:v>45555</c:v>
                      </c:pt>
                      <c:pt idx="60">
                        <c:v>45558</c:v>
                      </c:pt>
                      <c:pt idx="61">
                        <c:v>45559</c:v>
                      </c:pt>
                      <c:pt idx="62">
                        <c:v>45560</c:v>
                      </c:pt>
                      <c:pt idx="63">
                        <c:v>45561</c:v>
                      </c:pt>
                      <c:pt idx="64">
                        <c:v>45562</c:v>
                      </c:pt>
                      <c:pt idx="65">
                        <c:v>45565</c:v>
                      </c:pt>
                      <c:pt idx="66">
                        <c:v>45566</c:v>
                      </c:pt>
                      <c:pt idx="67">
                        <c:v>45567</c:v>
                      </c:pt>
                      <c:pt idx="68">
                        <c:v>45568</c:v>
                      </c:pt>
                      <c:pt idx="69">
                        <c:v>45569</c:v>
                      </c:pt>
                      <c:pt idx="70">
                        <c:v>45572</c:v>
                      </c:pt>
                      <c:pt idx="71">
                        <c:v>45573</c:v>
                      </c:pt>
                      <c:pt idx="72">
                        <c:v>45574</c:v>
                      </c:pt>
                      <c:pt idx="73">
                        <c:v>45575</c:v>
                      </c:pt>
                      <c:pt idx="74">
                        <c:v>45576</c:v>
                      </c:pt>
                      <c:pt idx="75">
                        <c:v>45579</c:v>
                      </c:pt>
                      <c:pt idx="76">
                        <c:v>45580</c:v>
                      </c:pt>
                      <c:pt idx="77">
                        <c:v>45581</c:v>
                      </c:pt>
                      <c:pt idx="78">
                        <c:v>45582</c:v>
                      </c:pt>
                      <c:pt idx="79">
                        <c:v>45583</c:v>
                      </c:pt>
                      <c:pt idx="80">
                        <c:v>45586</c:v>
                      </c:pt>
                      <c:pt idx="81">
                        <c:v>45587</c:v>
                      </c:pt>
                      <c:pt idx="82">
                        <c:v>45588</c:v>
                      </c:pt>
                      <c:pt idx="83">
                        <c:v>45589</c:v>
                      </c:pt>
                      <c:pt idx="84">
                        <c:v>45590</c:v>
                      </c:pt>
                      <c:pt idx="85">
                        <c:v>45593</c:v>
                      </c:pt>
                      <c:pt idx="86">
                        <c:v>45594</c:v>
                      </c:pt>
                      <c:pt idx="87">
                        <c:v>45595</c:v>
                      </c:pt>
                      <c:pt idx="88">
                        <c:v>45596</c:v>
                      </c:pt>
                      <c:pt idx="89">
                        <c:v>45597</c:v>
                      </c:pt>
                      <c:pt idx="90">
                        <c:v>45600</c:v>
                      </c:pt>
                      <c:pt idx="91">
                        <c:v>45601</c:v>
                      </c:pt>
                      <c:pt idx="92">
                        <c:v>45602</c:v>
                      </c:pt>
                      <c:pt idx="93">
                        <c:v>45603</c:v>
                      </c:pt>
                      <c:pt idx="94">
                        <c:v>45604</c:v>
                      </c:pt>
                      <c:pt idx="95">
                        <c:v>45607</c:v>
                      </c:pt>
                      <c:pt idx="96">
                        <c:v>45608</c:v>
                      </c:pt>
                      <c:pt idx="97">
                        <c:v>45609</c:v>
                      </c:pt>
                      <c:pt idx="98">
                        <c:v>45610</c:v>
                      </c:pt>
                      <c:pt idx="99">
                        <c:v>45611</c:v>
                      </c:pt>
                      <c:pt idx="100">
                        <c:v>45614</c:v>
                      </c:pt>
                      <c:pt idx="101">
                        <c:v>45615</c:v>
                      </c:pt>
                      <c:pt idx="102">
                        <c:v>45616</c:v>
                      </c:pt>
                      <c:pt idx="103">
                        <c:v>45617</c:v>
                      </c:pt>
                      <c:pt idx="104">
                        <c:v>45618</c:v>
                      </c:pt>
                      <c:pt idx="105">
                        <c:v>45621</c:v>
                      </c:pt>
                      <c:pt idx="106">
                        <c:v>45622</c:v>
                      </c:pt>
                      <c:pt idx="107">
                        <c:v>45623</c:v>
                      </c:pt>
                      <c:pt idx="108">
                        <c:v>45624</c:v>
                      </c:pt>
                      <c:pt idx="109">
                        <c:v>45625</c:v>
                      </c:pt>
                      <c:pt idx="110">
                        <c:v>45628</c:v>
                      </c:pt>
                      <c:pt idx="111">
                        <c:v>45629</c:v>
                      </c:pt>
                      <c:pt idx="112">
                        <c:v>45630</c:v>
                      </c:pt>
                      <c:pt idx="113">
                        <c:v>45631</c:v>
                      </c:pt>
                      <c:pt idx="114">
                        <c:v>45632</c:v>
                      </c:pt>
                      <c:pt idx="115">
                        <c:v>45635</c:v>
                      </c:pt>
                      <c:pt idx="116">
                        <c:v>45636</c:v>
                      </c:pt>
                      <c:pt idx="117">
                        <c:v>45637</c:v>
                      </c:pt>
                      <c:pt idx="118">
                        <c:v>45638</c:v>
                      </c:pt>
                      <c:pt idx="119">
                        <c:v>45639</c:v>
                      </c:pt>
                      <c:pt idx="120">
                        <c:v>45642</c:v>
                      </c:pt>
                      <c:pt idx="121">
                        <c:v>45643</c:v>
                      </c:pt>
                      <c:pt idx="122">
                        <c:v>45644</c:v>
                      </c:pt>
                      <c:pt idx="123">
                        <c:v>45645</c:v>
                      </c:pt>
                      <c:pt idx="124">
                        <c:v>45646</c:v>
                      </c:pt>
                      <c:pt idx="125">
                        <c:v>45649</c:v>
                      </c:pt>
                      <c:pt idx="126">
                        <c:v>45650</c:v>
                      </c:pt>
                      <c:pt idx="127">
                        <c:v>45653</c:v>
                      </c:pt>
                      <c:pt idx="128">
                        <c:v>45656</c:v>
                      </c:pt>
                      <c:pt idx="129">
                        <c:v>45657</c:v>
                      </c:pt>
                      <c:pt idx="130">
                        <c:v>45659</c:v>
                      </c:pt>
                      <c:pt idx="131">
                        <c:v>45660</c:v>
                      </c:pt>
                      <c:pt idx="132">
                        <c:v>45663</c:v>
                      </c:pt>
                      <c:pt idx="133">
                        <c:v>45664</c:v>
                      </c:pt>
                      <c:pt idx="134">
                        <c:v>45665</c:v>
                      </c:pt>
                      <c:pt idx="135">
                        <c:v>45666</c:v>
                      </c:pt>
                      <c:pt idx="136">
                        <c:v>45667</c:v>
                      </c:pt>
                      <c:pt idx="137">
                        <c:v>45670</c:v>
                      </c:pt>
                      <c:pt idx="138">
                        <c:v>45671</c:v>
                      </c:pt>
                      <c:pt idx="139">
                        <c:v>45672</c:v>
                      </c:pt>
                      <c:pt idx="140">
                        <c:v>45673</c:v>
                      </c:pt>
                      <c:pt idx="141">
                        <c:v>45674</c:v>
                      </c:pt>
                      <c:pt idx="142">
                        <c:v>45677</c:v>
                      </c:pt>
                      <c:pt idx="143">
                        <c:v>45678</c:v>
                      </c:pt>
                      <c:pt idx="144">
                        <c:v>45679</c:v>
                      </c:pt>
                      <c:pt idx="145">
                        <c:v>45680</c:v>
                      </c:pt>
                      <c:pt idx="146">
                        <c:v>45681</c:v>
                      </c:pt>
                      <c:pt idx="147">
                        <c:v>45685</c:v>
                      </c:pt>
                      <c:pt idx="148">
                        <c:v>45686</c:v>
                      </c:pt>
                      <c:pt idx="149">
                        <c:v>45687</c:v>
                      </c:pt>
                      <c:pt idx="150">
                        <c:v>45688</c:v>
                      </c:pt>
                      <c:pt idx="151">
                        <c:v>45691</c:v>
                      </c:pt>
                      <c:pt idx="152">
                        <c:v>45692</c:v>
                      </c:pt>
                      <c:pt idx="153">
                        <c:v>45693</c:v>
                      </c:pt>
                      <c:pt idx="154">
                        <c:v>45694</c:v>
                      </c:pt>
                      <c:pt idx="155">
                        <c:v>45695</c:v>
                      </c:pt>
                      <c:pt idx="156">
                        <c:v>45698</c:v>
                      </c:pt>
                      <c:pt idx="157">
                        <c:v>45699</c:v>
                      </c:pt>
                      <c:pt idx="158">
                        <c:v>45700</c:v>
                      </c:pt>
                      <c:pt idx="159">
                        <c:v>45701</c:v>
                      </c:pt>
                      <c:pt idx="160">
                        <c:v>45702</c:v>
                      </c:pt>
                      <c:pt idx="161">
                        <c:v>45705</c:v>
                      </c:pt>
                      <c:pt idx="162">
                        <c:v>45706</c:v>
                      </c:pt>
                      <c:pt idx="163">
                        <c:v>45707</c:v>
                      </c:pt>
                      <c:pt idx="164">
                        <c:v>45708</c:v>
                      </c:pt>
                      <c:pt idx="165">
                        <c:v>45709</c:v>
                      </c:pt>
                      <c:pt idx="166">
                        <c:v>45712</c:v>
                      </c:pt>
                      <c:pt idx="167">
                        <c:v>45713</c:v>
                      </c:pt>
                      <c:pt idx="168">
                        <c:v>45714</c:v>
                      </c:pt>
                      <c:pt idx="169">
                        <c:v>45715</c:v>
                      </c:pt>
                      <c:pt idx="170">
                        <c:v>45716</c:v>
                      </c:pt>
                      <c:pt idx="171">
                        <c:v>45719</c:v>
                      </c:pt>
                      <c:pt idx="172">
                        <c:v>45720</c:v>
                      </c:pt>
                      <c:pt idx="173">
                        <c:v>45721</c:v>
                      </c:pt>
                      <c:pt idx="174">
                        <c:v>45722</c:v>
                      </c:pt>
                      <c:pt idx="175">
                        <c:v>45723</c:v>
                      </c:pt>
                      <c:pt idx="176">
                        <c:v>45726</c:v>
                      </c:pt>
                      <c:pt idx="177">
                        <c:v>45727</c:v>
                      </c:pt>
                      <c:pt idx="178">
                        <c:v>45728</c:v>
                      </c:pt>
                      <c:pt idx="179">
                        <c:v>45729</c:v>
                      </c:pt>
                      <c:pt idx="180">
                        <c:v>45730</c:v>
                      </c:pt>
                      <c:pt idx="181">
                        <c:v>45733</c:v>
                      </c:pt>
                      <c:pt idx="182">
                        <c:v>45734</c:v>
                      </c:pt>
                      <c:pt idx="183">
                        <c:v>45735</c:v>
                      </c:pt>
                      <c:pt idx="184">
                        <c:v>45736</c:v>
                      </c:pt>
                      <c:pt idx="185">
                        <c:v>45737</c:v>
                      </c:pt>
                      <c:pt idx="186">
                        <c:v>45740</c:v>
                      </c:pt>
                      <c:pt idx="187">
                        <c:v>45741</c:v>
                      </c:pt>
                      <c:pt idx="188">
                        <c:v>45742</c:v>
                      </c:pt>
                      <c:pt idx="189">
                        <c:v>45743</c:v>
                      </c:pt>
                      <c:pt idx="190">
                        <c:v>45744</c:v>
                      </c:pt>
                      <c:pt idx="191">
                        <c:v>45747</c:v>
                      </c:pt>
                      <c:pt idx="192">
                        <c:v>45748</c:v>
                      </c:pt>
                      <c:pt idx="193">
                        <c:v>45749</c:v>
                      </c:pt>
                      <c:pt idx="194">
                        <c:v>45750</c:v>
                      </c:pt>
                      <c:pt idx="195">
                        <c:v>45751</c:v>
                      </c:pt>
                      <c:pt idx="196">
                        <c:v>45754</c:v>
                      </c:pt>
                      <c:pt idx="197">
                        <c:v>45755</c:v>
                      </c:pt>
                      <c:pt idx="198">
                        <c:v>45756</c:v>
                      </c:pt>
                      <c:pt idx="199">
                        <c:v>45757</c:v>
                      </c:pt>
                      <c:pt idx="200">
                        <c:v>45758</c:v>
                      </c:pt>
                      <c:pt idx="201">
                        <c:v>45761</c:v>
                      </c:pt>
                      <c:pt idx="202">
                        <c:v>45762</c:v>
                      </c:pt>
                      <c:pt idx="203">
                        <c:v>45763</c:v>
                      </c:pt>
                      <c:pt idx="204">
                        <c:v>45764</c:v>
                      </c:pt>
                      <c:pt idx="205">
                        <c:v>45769</c:v>
                      </c:pt>
                      <c:pt idx="206">
                        <c:v>45770</c:v>
                      </c:pt>
                      <c:pt idx="207">
                        <c:v>45771</c:v>
                      </c:pt>
                      <c:pt idx="208">
                        <c:v>45775</c:v>
                      </c:pt>
                      <c:pt idx="209">
                        <c:v>45776</c:v>
                      </c:pt>
                      <c:pt idx="210">
                        <c:v>45777</c:v>
                      </c:pt>
                      <c:pt idx="211">
                        <c:v>45778</c:v>
                      </c:pt>
                      <c:pt idx="212">
                        <c:v>45779</c:v>
                      </c:pt>
                      <c:pt idx="213">
                        <c:v>45782</c:v>
                      </c:pt>
                      <c:pt idx="214">
                        <c:v>45783</c:v>
                      </c:pt>
                      <c:pt idx="215">
                        <c:v>45784</c:v>
                      </c:pt>
                      <c:pt idx="216">
                        <c:v>45785</c:v>
                      </c:pt>
                      <c:pt idx="217">
                        <c:v>45786</c:v>
                      </c:pt>
                      <c:pt idx="218">
                        <c:v>45789</c:v>
                      </c:pt>
                      <c:pt idx="219">
                        <c:v>45790</c:v>
                      </c:pt>
                      <c:pt idx="220">
                        <c:v>45791</c:v>
                      </c:pt>
                      <c:pt idx="221">
                        <c:v>45792</c:v>
                      </c:pt>
                      <c:pt idx="222">
                        <c:v>45793</c:v>
                      </c:pt>
                      <c:pt idx="223">
                        <c:v>45796</c:v>
                      </c:pt>
                      <c:pt idx="224">
                        <c:v>45797</c:v>
                      </c:pt>
                      <c:pt idx="225">
                        <c:v>45798</c:v>
                      </c:pt>
                      <c:pt idx="226">
                        <c:v>45799</c:v>
                      </c:pt>
                      <c:pt idx="227">
                        <c:v>45800</c:v>
                      </c:pt>
                      <c:pt idx="228">
                        <c:v>45803</c:v>
                      </c:pt>
                      <c:pt idx="229">
                        <c:v>45804</c:v>
                      </c:pt>
                      <c:pt idx="230">
                        <c:v>45805</c:v>
                      </c:pt>
                      <c:pt idx="231">
                        <c:v>45806</c:v>
                      </c:pt>
                      <c:pt idx="232">
                        <c:v>45807</c:v>
                      </c:pt>
                      <c:pt idx="233">
                        <c:v>45810</c:v>
                      </c:pt>
                      <c:pt idx="234">
                        <c:v>45811</c:v>
                      </c:pt>
                      <c:pt idx="235">
                        <c:v>45812</c:v>
                      </c:pt>
                      <c:pt idx="236">
                        <c:v>45813</c:v>
                      </c:pt>
                      <c:pt idx="237">
                        <c:v>45814</c:v>
                      </c:pt>
                      <c:pt idx="238">
                        <c:v>45818</c:v>
                      </c:pt>
                      <c:pt idx="239">
                        <c:v>45819</c:v>
                      </c:pt>
                      <c:pt idx="240">
                        <c:v>45820</c:v>
                      </c:pt>
                      <c:pt idx="241">
                        <c:v>45821</c:v>
                      </c:pt>
                      <c:pt idx="242">
                        <c:v>45824</c:v>
                      </c:pt>
                      <c:pt idx="243">
                        <c:v>45825</c:v>
                      </c:pt>
                      <c:pt idx="244">
                        <c:v>45826</c:v>
                      </c:pt>
                      <c:pt idx="245">
                        <c:v>45827</c:v>
                      </c:pt>
                      <c:pt idx="246">
                        <c:v>45828</c:v>
                      </c:pt>
                      <c:pt idx="247">
                        <c:v>45831</c:v>
                      </c:pt>
                      <c:pt idx="248">
                        <c:v>45832</c:v>
                      </c:pt>
                      <c:pt idx="249">
                        <c:v>45833</c:v>
                      </c:pt>
                      <c:pt idx="250">
                        <c:v>45834</c:v>
                      </c:pt>
                      <c:pt idx="251">
                        <c:v>45835</c:v>
                      </c:pt>
                      <c:pt idx="252">
                        <c:v>45838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'Yearly Portfolio'!$C$2:$C$254</c15:sqref>
                        </c15:formulaRef>
                      </c:ext>
                    </c:extLst>
                    <c:numCache>
                      <c:formatCode>General</c:formatCode>
                      <c:ptCount val="253"/>
                      <c:pt idx="0">
                        <c:v>999.90000000000009</c:v>
                      </c:pt>
                      <c:pt idx="1">
                        <c:v>1001.92</c:v>
                      </c:pt>
                      <c:pt idx="2">
                        <c:v>971.61999999999989</c:v>
                      </c:pt>
                      <c:pt idx="3">
                        <c:v>977.68</c:v>
                      </c:pt>
                      <c:pt idx="4">
                        <c:v>973.6400000000001</c:v>
                      </c:pt>
                      <c:pt idx="5">
                        <c:v>971.61999999999989</c:v>
                      </c:pt>
                      <c:pt idx="6">
                        <c:v>991.82</c:v>
                      </c:pt>
                      <c:pt idx="7">
                        <c:v>991.82</c:v>
                      </c:pt>
                      <c:pt idx="8">
                        <c:v>1010</c:v>
                      </c:pt>
                      <c:pt idx="9">
                        <c:v>1026.1600000000001</c:v>
                      </c:pt>
                      <c:pt idx="10">
                        <c:v>999.90000000000009</c:v>
                      </c:pt>
                      <c:pt idx="11">
                        <c:v>1048.3800000000001</c:v>
                      </c:pt>
                      <c:pt idx="12">
                        <c:v>1086.76</c:v>
                      </c:pt>
                      <c:pt idx="13">
                        <c:v>1102.92</c:v>
                      </c:pt>
                      <c:pt idx="14">
                        <c:v>1161.5</c:v>
                      </c:pt>
                      <c:pt idx="15">
                        <c:v>1165.54</c:v>
                      </c:pt>
                      <c:pt idx="16">
                        <c:v>1187.76</c:v>
                      </c:pt>
                      <c:pt idx="17">
                        <c:v>1191.8000000000002</c:v>
                      </c:pt>
                      <c:pt idx="18">
                        <c:v>1161.5</c:v>
                      </c:pt>
                      <c:pt idx="19">
                        <c:v>1141.3000000000002</c:v>
                      </c:pt>
                      <c:pt idx="20">
                        <c:v>1171.5999999999999</c:v>
                      </c:pt>
                      <c:pt idx="21">
                        <c:v>1161.5</c:v>
                      </c:pt>
                      <c:pt idx="22">
                        <c:v>1175.6400000000001</c:v>
                      </c:pt>
                      <c:pt idx="23">
                        <c:v>1218.06</c:v>
                      </c:pt>
                      <c:pt idx="24">
                        <c:v>1209.98</c:v>
                      </c:pt>
                      <c:pt idx="25">
                        <c:v>1141.3000000000002</c:v>
                      </c:pt>
                      <c:pt idx="26">
                        <c:v>1181.6999999999998</c:v>
                      </c:pt>
                      <c:pt idx="27">
                        <c:v>1199.8800000000001</c:v>
                      </c:pt>
                      <c:pt idx="28">
                        <c:v>1175.6400000000001</c:v>
                      </c:pt>
                      <c:pt idx="29">
                        <c:v>1189.78</c:v>
                      </c:pt>
                      <c:pt idx="30">
                        <c:v>1214.02</c:v>
                      </c:pt>
                      <c:pt idx="31">
                        <c:v>1242.3000000000002</c:v>
                      </c:pt>
                      <c:pt idx="32">
                        <c:v>1230.18</c:v>
                      </c:pt>
                      <c:pt idx="33">
                        <c:v>1232.1999999999998</c:v>
                      </c:pt>
                      <c:pt idx="34">
                        <c:v>1232.1999999999998</c:v>
                      </c:pt>
                      <c:pt idx="35">
                        <c:v>1226.1400000000001</c:v>
                      </c:pt>
                      <c:pt idx="36">
                        <c:v>1296.8399999999999</c:v>
                      </c:pt>
                      <c:pt idx="37">
                        <c:v>1280.68</c:v>
                      </c:pt>
                      <c:pt idx="38">
                        <c:v>1424.1</c:v>
                      </c:pt>
                      <c:pt idx="39">
                        <c:v>1389.76</c:v>
                      </c:pt>
                      <c:pt idx="40">
                        <c:v>1414</c:v>
                      </c:pt>
                      <c:pt idx="41">
                        <c:v>1414</c:v>
                      </c:pt>
                      <c:pt idx="42">
                        <c:v>1411.98</c:v>
                      </c:pt>
                      <c:pt idx="43">
                        <c:v>1389.76</c:v>
                      </c:pt>
                      <c:pt idx="44">
                        <c:v>1401.88</c:v>
                      </c:pt>
                      <c:pt idx="45">
                        <c:v>1414</c:v>
                      </c:pt>
                      <c:pt idx="46">
                        <c:v>1409.96</c:v>
                      </c:pt>
                      <c:pt idx="47">
                        <c:v>1377.64</c:v>
                      </c:pt>
                      <c:pt idx="48">
                        <c:v>1369.56</c:v>
                      </c:pt>
                      <c:pt idx="49">
                        <c:v>1383.6999999999998</c:v>
                      </c:pt>
                      <c:pt idx="50">
                        <c:v>1357.44</c:v>
                      </c:pt>
                      <c:pt idx="51">
                        <c:v>1343.3000000000002</c:v>
                      </c:pt>
                      <c:pt idx="52">
                        <c:v>1345.32</c:v>
                      </c:pt>
                      <c:pt idx="53">
                        <c:v>1353.4</c:v>
                      </c:pt>
                      <c:pt idx="54">
                        <c:v>1347.34</c:v>
                      </c:pt>
                      <c:pt idx="55">
                        <c:v>1353.4</c:v>
                      </c:pt>
                      <c:pt idx="56">
                        <c:v>1353.4</c:v>
                      </c:pt>
                      <c:pt idx="57">
                        <c:v>1363.5</c:v>
                      </c:pt>
                      <c:pt idx="58">
                        <c:v>1365.52</c:v>
                      </c:pt>
                      <c:pt idx="59">
                        <c:v>1395.82</c:v>
                      </c:pt>
                      <c:pt idx="60">
                        <c:v>1422.08</c:v>
                      </c:pt>
                      <c:pt idx="61">
                        <c:v>1430.16</c:v>
                      </c:pt>
                      <c:pt idx="62">
                        <c:v>1432.18</c:v>
                      </c:pt>
                      <c:pt idx="63">
                        <c:v>1474.6</c:v>
                      </c:pt>
                      <c:pt idx="64">
                        <c:v>1476.62</c:v>
                      </c:pt>
                      <c:pt idx="65">
                        <c:v>1515</c:v>
                      </c:pt>
                      <c:pt idx="66">
                        <c:v>1543.28</c:v>
                      </c:pt>
                      <c:pt idx="67">
                        <c:v>1555.4</c:v>
                      </c:pt>
                      <c:pt idx="68">
                        <c:v>1565.5</c:v>
                      </c:pt>
                      <c:pt idx="69">
                        <c:v>1535.1999999999998</c:v>
                      </c:pt>
                      <c:pt idx="70">
                        <c:v>1555.4</c:v>
                      </c:pt>
                      <c:pt idx="71">
                        <c:v>1545.3000000000002</c:v>
                      </c:pt>
                      <c:pt idx="72">
                        <c:v>1565.5</c:v>
                      </c:pt>
                      <c:pt idx="73">
                        <c:v>1555.4</c:v>
                      </c:pt>
                      <c:pt idx="74">
                        <c:v>1557.42</c:v>
                      </c:pt>
                      <c:pt idx="75">
                        <c:v>1539.24</c:v>
                      </c:pt>
                      <c:pt idx="76">
                        <c:v>1622.06</c:v>
                      </c:pt>
                      <c:pt idx="77">
                        <c:v>1640.2399999999998</c:v>
                      </c:pt>
                      <c:pt idx="78">
                        <c:v>1634.18</c:v>
                      </c:pt>
                      <c:pt idx="79">
                        <c:v>1648.32</c:v>
                      </c:pt>
                      <c:pt idx="80">
                        <c:v>1666.5</c:v>
                      </c:pt>
                      <c:pt idx="81">
                        <c:v>1666.5</c:v>
                      </c:pt>
                      <c:pt idx="82">
                        <c:v>1658.42</c:v>
                      </c:pt>
                      <c:pt idx="83">
                        <c:v>1607.92</c:v>
                      </c:pt>
                      <c:pt idx="84">
                        <c:v>1611.96</c:v>
                      </c:pt>
                      <c:pt idx="85">
                        <c:v>1654.3799999999999</c:v>
                      </c:pt>
                      <c:pt idx="86">
                        <c:v>1682.66</c:v>
                      </c:pt>
                      <c:pt idx="87">
                        <c:v>1613.98</c:v>
                      </c:pt>
                      <c:pt idx="88">
                        <c:v>1591.76</c:v>
                      </c:pt>
                      <c:pt idx="89">
                        <c:v>1575.6</c:v>
                      </c:pt>
                      <c:pt idx="90">
                        <c:v>1545.3000000000002</c:v>
                      </c:pt>
                      <c:pt idx="91">
                        <c:v>1543.28</c:v>
                      </c:pt>
                      <c:pt idx="92">
                        <c:v>1551.36</c:v>
                      </c:pt>
                      <c:pt idx="93">
                        <c:v>1537.22</c:v>
                      </c:pt>
                      <c:pt idx="94">
                        <c:v>1561.46</c:v>
                      </c:pt>
                      <c:pt idx="95">
                        <c:v>1561.46</c:v>
                      </c:pt>
                      <c:pt idx="96">
                        <c:v>1581.66</c:v>
                      </c:pt>
                      <c:pt idx="97">
                        <c:v>1571.56</c:v>
                      </c:pt>
                      <c:pt idx="98">
                        <c:v>1565.5</c:v>
                      </c:pt>
                      <c:pt idx="99">
                        <c:v>1599.84</c:v>
                      </c:pt>
                      <c:pt idx="100">
                        <c:v>1597.82</c:v>
                      </c:pt>
                      <c:pt idx="101">
                        <c:v>1618.02</c:v>
                      </c:pt>
                      <c:pt idx="102">
                        <c:v>1569.54</c:v>
                      </c:pt>
                      <c:pt idx="103">
                        <c:v>1506.92</c:v>
                      </c:pt>
                      <c:pt idx="104">
                        <c:v>1502.88</c:v>
                      </c:pt>
                      <c:pt idx="105">
                        <c:v>1506.92</c:v>
                      </c:pt>
                      <c:pt idx="106">
                        <c:v>1547.32</c:v>
                      </c:pt>
                      <c:pt idx="107">
                        <c:v>1547.32</c:v>
                      </c:pt>
                      <c:pt idx="108">
                        <c:v>1525.1</c:v>
                      </c:pt>
                      <c:pt idx="109">
                        <c:v>1575.6</c:v>
                      </c:pt>
                      <c:pt idx="110">
                        <c:v>1547.32</c:v>
                      </c:pt>
                      <c:pt idx="111">
                        <c:v>1595.8000000000002</c:v>
                      </c:pt>
                      <c:pt idx="112">
                        <c:v>1632.16</c:v>
                      </c:pt>
                      <c:pt idx="113">
                        <c:v>1644.2800000000002</c:v>
                      </c:pt>
                      <c:pt idx="114">
                        <c:v>1628.1200000000001</c:v>
                      </c:pt>
                      <c:pt idx="115">
                        <c:v>1616</c:v>
                      </c:pt>
                      <c:pt idx="116">
                        <c:v>1579.64</c:v>
                      </c:pt>
                      <c:pt idx="117">
                        <c:v>1563.48</c:v>
                      </c:pt>
                      <c:pt idx="118">
                        <c:v>1573.58</c:v>
                      </c:pt>
                      <c:pt idx="119">
                        <c:v>1561.46</c:v>
                      </c:pt>
                      <c:pt idx="120">
                        <c:v>1571.56</c:v>
                      </c:pt>
                      <c:pt idx="121">
                        <c:v>1620.04</c:v>
                      </c:pt>
                      <c:pt idx="122">
                        <c:v>1624.08</c:v>
                      </c:pt>
                      <c:pt idx="123">
                        <c:v>1603.88</c:v>
                      </c:pt>
                      <c:pt idx="124">
                        <c:v>1609.94</c:v>
                      </c:pt>
                      <c:pt idx="125">
                        <c:v>1620.04</c:v>
                      </c:pt>
                      <c:pt idx="126">
                        <c:v>1644.2800000000002</c:v>
                      </c:pt>
                      <c:pt idx="127">
                        <c:v>1694.7800000000002</c:v>
                      </c:pt>
                      <c:pt idx="128">
                        <c:v>1678.6200000000001</c:v>
                      </c:pt>
                      <c:pt idx="129">
                        <c:v>1733.16</c:v>
                      </c:pt>
                      <c:pt idx="130">
                        <c:v>1636.1999999999998</c:v>
                      </c:pt>
                      <c:pt idx="131">
                        <c:v>1652.36</c:v>
                      </c:pt>
                      <c:pt idx="132">
                        <c:v>1666.5</c:v>
                      </c:pt>
                      <c:pt idx="133">
                        <c:v>1704.8799999999999</c:v>
                      </c:pt>
                      <c:pt idx="134">
                        <c:v>1692.7600000000002</c:v>
                      </c:pt>
                      <c:pt idx="135">
                        <c:v>1702.86</c:v>
                      </c:pt>
                      <c:pt idx="136">
                        <c:v>1696.8000000000002</c:v>
                      </c:pt>
                      <c:pt idx="137">
                        <c:v>1638.2199999999998</c:v>
                      </c:pt>
                      <c:pt idx="138">
                        <c:v>1622.06</c:v>
                      </c:pt>
                      <c:pt idx="139">
                        <c:v>1575.6</c:v>
                      </c:pt>
                      <c:pt idx="140">
                        <c:v>1567.52</c:v>
                      </c:pt>
                      <c:pt idx="141">
                        <c:v>1559.44</c:v>
                      </c:pt>
                      <c:pt idx="142">
                        <c:v>1597.82</c:v>
                      </c:pt>
                      <c:pt idx="143">
                        <c:v>1636.1999999999998</c:v>
                      </c:pt>
                      <c:pt idx="144">
                        <c:v>1670.54</c:v>
                      </c:pt>
                      <c:pt idx="145">
                        <c:v>1636.1999999999998</c:v>
                      </c:pt>
                      <c:pt idx="146">
                        <c:v>1696.8000000000002</c:v>
                      </c:pt>
                      <c:pt idx="147">
                        <c:v>1694.7800000000002</c:v>
                      </c:pt>
                      <c:pt idx="148">
                        <c:v>1706.8999999999999</c:v>
                      </c:pt>
                      <c:pt idx="149">
                        <c:v>1696.8000000000002</c:v>
                      </c:pt>
                      <c:pt idx="150">
                        <c:v>1721.04</c:v>
                      </c:pt>
                      <c:pt idx="151">
                        <c:v>1650.34</c:v>
                      </c:pt>
                      <c:pt idx="152">
                        <c:v>1638.2199999999998</c:v>
                      </c:pt>
                      <c:pt idx="153">
                        <c:v>1634.18</c:v>
                      </c:pt>
                      <c:pt idx="154">
                        <c:v>1676.6000000000001</c:v>
                      </c:pt>
                      <c:pt idx="155">
                        <c:v>1710.94</c:v>
                      </c:pt>
                      <c:pt idx="156">
                        <c:v>1654.3799999999999</c:v>
                      </c:pt>
                      <c:pt idx="157">
                        <c:v>1654.3799999999999</c:v>
                      </c:pt>
                      <c:pt idx="158">
                        <c:v>1648.32</c:v>
                      </c:pt>
                      <c:pt idx="159">
                        <c:v>1648.32</c:v>
                      </c:pt>
                      <c:pt idx="160">
                        <c:v>1676.6000000000001</c:v>
                      </c:pt>
                      <c:pt idx="161">
                        <c:v>1696.8000000000002</c:v>
                      </c:pt>
                      <c:pt idx="162">
                        <c:v>1702.86</c:v>
                      </c:pt>
                      <c:pt idx="163">
                        <c:v>1712.96</c:v>
                      </c:pt>
                      <c:pt idx="164">
                        <c:v>1878.6000000000001</c:v>
                      </c:pt>
                      <c:pt idx="165">
                        <c:v>1852.34</c:v>
                      </c:pt>
                      <c:pt idx="166">
                        <c:v>1787.6999999999998</c:v>
                      </c:pt>
                      <c:pt idx="167">
                        <c:v>1755.3799999999999</c:v>
                      </c:pt>
                      <c:pt idx="168">
                        <c:v>1789.7199999999998</c:v>
                      </c:pt>
                      <c:pt idx="169">
                        <c:v>1805.8799999999999</c:v>
                      </c:pt>
                      <c:pt idx="170">
                        <c:v>1757.3999999999999</c:v>
                      </c:pt>
                      <c:pt idx="171">
                        <c:v>1706.8999999999999</c:v>
                      </c:pt>
                      <c:pt idx="172">
                        <c:v>1688.7199999999998</c:v>
                      </c:pt>
                      <c:pt idx="173">
                        <c:v>1696.8000000000002</c:v>
                      </c:pt>
                      <c:pt idx="174">
                        <c:v>1644.2800000000002</c:v>
                      </c:pt>
                      <c:pt idx="175">
                        <c:v>1601.86</c:v>
                      </c:pt>
                      <c:pt idx="176">
                        <c:v>1620.04</c:v>
                      </c:pt>
                      <c:pt idx="177">
                        <c:v>1525.1</c:v>
                      </c:pt>
                      <c:pt idx="178">
                        <c:v>1498.84</c:v>
                      </c:pt>
                      <c:pt idx="179">
                        <c:v>1494.8000000000002</c:v>
                      </c:pt>
                      <c:pt idx="180">
                        <c:v>1494.8000000000002</c:v>
                      </c:pt>
                      <c:pt idx="181">
                        <c:v>1545.3000000000002</c:v>
                      </c:pt>
                      <c:pt idx="182">
                        <c:v>1595.8000000000002</c:v>
                      </c:pt>
                      <c:pt idx="183">
                        <c:v>1512.98</c:v>
                      </c:pt>
                      <c:pt idx="184">
                        <c:v>1515</c:v>
                      </c:pt>
                      <c:pt idx="185">
                        <c:v>1521.06</c:v>
                      </c:pt>
                      <c:pt idx="186">
                        <c:v>1533.18</c:v>
                      </c:pt>
                      <c:pt idx="187">
                        <c:v>1605.9</c:v>
                      </c:pt>
                      <c:pt idx="188">
                        <c:v>1624.08</c:v>
                      </c:pt>
                      <c:pt idx="189">
                        <c:v>1616</c:v>
                      </c:pt>
                      <c:pt idx="190">
                        <c:v>1640.2399999999998</c:v>
                      </c:pt>
                      <c:pt idx="191">
                        <c:v>1559.44</c:v>
                      </c:pt>
                      <c:pt idx="192">
                        <c:v>1506.92</c:v>
                      </c:pt>
                      <c:pt idx="193">
                        <c:v>1494.8000000000002</c:v>
                      </c:pt>
                      <c:pt idx="194">
                        <c:v>1521.06</c:v>
                      </c:pt>
                      <c:pt idx="195">
                        <c:v>1454.4</c:v>
                      </c:pt>
                      <c:pt idx="196">
                        <c:v>1403.9</c:v>
                      </c:pt>
                      <c:pt idx="197">
                        <c:v>1395.82</c:v>
                      </c:pt>
                      <c:pt idx="198">
                        <c:v>1385.72</c:v>
                      </c:pt>
                      <c:pt idx="199">
                        <c:v>1504.9</c:v>
                      </c:pt>
                      <c:pt idx="200">
                        <c:v>1454.4</c:v>
                      </c:pt>
                      <c:pt idx="201">
                        <c:v>1482.68</c:v>
                      </c:pt>
                      <c:pt idx="202">
                        <c:v>1506.92</c:v>
                      </c:pt>
                      <c:pt idx="203">
                        <c:v>1515</c:v>
                      </c:pt>
                      <c:pt idx="204">
                        <c:v>1504.9</c:v>
                      </c:pt>
                      <c:pt idx="205">
                        <c:v>1482.68</c:v>
                      </c:pt>
                      <c:pt idx="206">
                        <c:v>1567.52</c:v>
                      </c:pt>
                      <c:pt idx="207">
                        <c:v>1545.3000000000002</c:v>
                      </c:pt>
                      <c:pt idx="208">
                        <c:v>1545.3000000000002</c:v>
                      </c:pt>
                      <c:pt idx="209">
                        <c:v>1589.74</c:v>
                      </c:pt>
                      <c:pt idx="210">
                        <c:v>1563.48</c:v>
                      </c:pt>
                      <c:pt idx="211">
                        <c:v>1545.3000000000002</c:v>
                      </c:pt>
                      <c:pt idx="212">
                        <c:v>1577.62</c:v>
                      </c:pt>
                      <c:pt idx="213">
                        <c:v>1549.34</c:v>
                      </c:pt>
                      <c:pt idx="214">
                        <c:v>1573.58</c:v>
                      </c:pt>
                      <c:pt idx="215">
                        <c:v>1587.72</c:v>
                      </c:pt>
                      <c:pt idx="216">
                        <c:v>1595.8000000000002</c:v>
                      </c:pt>
                      <c:pt idx="217">
                        <c:v>1603.88</c:v>
                      </c:pt>
                      <c:pt idx="218">
                        <c:v>1650.34</c:v>
                      </c:pt>
                      <c:pt idx="219">
                        <c:v>1745.2800000000002</c:v>
                      </c:pt>
                      <c:pt idx="220">
                        <c:v>1674.58</c:v>
                      </c:pt>
                      <c:pt idx="221">
                        <c:v>1696.8000000000002</c:v>
                      </c:pt>
                      <c:pt idx="222">
                        <c:v>1686.6999999999998</c:v>
                      </c:pt>
                      <c:pt idx="223">
                        <c:v>1648.32</c:v>
                      </c:pt>
                      <c:pt idx="224">
                        <c:v>1652.36</c:v>
                      </c:pt>
                      <c:pt idx="225">
                        <c:v>1557.42</c:v>
                      </c:pt>
                      <c:pt idx="226">
                        <c:v>1537.22</c:v>
                      </c:pt>
                      <c:pt idx="227">
                        <c:v>1545.3000000000002</c:v>
                      </c:pt>
                      <c:pt idx="228">
                        <c:v>1498.84</c:v>
                      </c:pt>
                      <c:pt idx="229">
                        <c:v>1470.56</c:v>
                      </c:pt>
                      <c:pt idx="230">
                        <c:v>1512.98</c:v>
                      </c:pt>
                      <c:pt idx="231">
                        <c:v>1517.02</c:v>
                      </c:pt>
                      <c:pt idx="232">
                        <c:v>1569.54</c:v>
                      </c:pt>
                      <c:pt idx="233">
                        <c:v>1531.16</c:v>
                      </c:pt>
                      <c:pt idx="234">
                        <c:v>1535.1999999999998</c:v>
                      </c:pt>
                      <c:pt idx="235">
                        <c:v>1591.76</c:v>
                      </c:pt>
                      <c:pt idx="236">
                        <c:v>1585.6999999999998</c:v>
                      </c:pt>
                      <c:pt idx="237">
                        <c:v>1585.6999999999998</c:v>
                      </c:pt>
                      <c:pt idx="238">
                        <c:v>1583.68</c:v>
                      </c:pt>
                      <c:pt idx="239">
                        <c:v>1567.52</c:v>
                      </c:pt>
                      <c:pt idx="240">
                        <c:v>1531.16</c:v>
                      </c:pt>
                      <c:pt idx="241">
                        <c:v>1494.8000000000002</c:v>
                      </c:pt>
                      <c:pt idx="242">
                        <c:v>1506.92</c:v>
                      </c:pt>
                      <c:pt idx="243">
                        <c:v>1571.56</c:v>
                      </c:pt>
                      <c:pt idx="244">
                        <c:v>1533.18</c:v>
                      </c:pt>
                      <c:pt idx="245">
                        <c:v>1500.86</c:v>
                      </c:pt>
                      <c:pt idx="246">
                        <c:v>1490.76</c:v>
                      </c:pt>
                      <c:pt idx="247">
                        <c:v>1486.72</c:v>
                      </c:pt>
                      <c:pt idx="248">
                        <c:v>1468.54</c:v>
                      </c:pt>
                      <c:pt idx="249">
                        <c:v>1484.6999999999998</c:v>
                      </c:pt>
                      <c:pt idx="250">
                        <c:v>1502.88</c:v>
                      </c:pt>
                      <c:pt idx="251">
                        <c:v>1537.22</c:v>
                      </c:pt>
                      <c:pt idx="252">
                        <c:v>1571.56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8A-4E57-AC72-DDF1A6ACB51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'Yearly Portfolio'!$D$1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5.8559150786386183E-2"/>
                  <c:y val="-6.4916776181779242E-3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C00000"/>
                        </a:solidFill>
                      </a:rPr>
                      <a:t>Low point-</a:t>
                    </a:r>
                    <a:fld id="{3E1A068D-DA73-49A7-AA2A-DA1E6638DE06}" type="VALUE">
                      <a:rPr lang="en-US" b="1">
                        <a:solidFill>
                          <a:srgbClr val="C00000"/>
                        </a:solidFill>
                      </a:rPr>
                      <a:pPr/>
                      <a:t>[VALUE]</a:t>
                    </a:fld>
                    <a:endParaRPr lang="en-US" b="1">
                      <a:solidFill>
                        <a:srgbClr val="C00000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4C3-40B2-B19F-E3FF789F244F}"/>
                </c:ext>
              </c:extLst>
            </c:dLbl>
            <c:dLbl>
              <c:idx val="164"/>
              <c:layout>
                <c:manualLayout>
                  <c:x val="5.6364060965075303E-3"/>
                  <c:y val="-0.10939649708880478"/>
                </c:manualLayout>
              </c:layout>
              <c:tx>
                <c:rich>
                  <a:bodyPr/>
                  <a:lstStyle/>
                  <a:p>
                    <a:r>
                      <a:rPr lang="en-US" sz="1050" b="1">
                        <a:solidFill>
                          <a:srgbClr val="00B050"/>
                        </a:solidFill>
                      </a:rPr>
                      <a:t>Peak:</a:t>
                    </a:r>
                    <a:fld id="{5FD5380F-866D-489E-ADB4-320403BB484B}" type="VALUE">
                      <a:rPr lang="en-US" sz="1050" b="1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US" sz="1050" b="1">
                      <a:solidFill>
                        <a:srgbClr val="00B050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4C3-40B2-B19F-E3FF789F24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'Yearly Portfolio'!$A$2:$A$254</c:f>
              <c:numCache>
                <c:formatCode>m/d/yyyy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'Yearly Portfolio'!$D$2:$D$254</c:f>
              <c:numCache>
                <c:formatCode>General</c:formatCode>
                <c:ptCount val="253"/>
                <c:pt idx="0">
                  <c:v>1000</c:v>
                </c:pt>
                <c:pt idx="1">
                  <c:v>1002.0199999999999</c:v>
                </c:pt>
                <c:pt idx="2">
                  <c:v>971.7199999999998</c:v>
                </c:pt>
                <c:pt idx="3">
                  <c:v>977.77999999999986</c:v>
                </c:pt>
                <c:pt idx="4">
                  <c:v>973.74</c:v>
                </c:pt>
                <c:pt idx="5">
                  <c:v>971.7199999999998</c:v>
                </c:pt>
                <c:pt idx="6">
                  <c:v>991.92</c:v>
                </c:pt>
                <c:pt idx="7">
                  <c:v>991.92</c:v>
                </c:pt>
                <c:pt idx="8">
                  <c:v>1010.0999999999999</c:v>
                </c:pt>
                <c:pt idx="9">
                  <c:v>1026.26</c:v>
                </c:pt>
                <c:pt idx="10">
                  <c:v>1000</c:v>
                </c:pt>
                <c:pt idx="11">
                  <c:v>1048.48</c:v>
                </c:pt>
                <c:pt idx="12">
                  <c:v>1086.8599999999999</c:v>
                </c:pt>
                <c:pt idx="13">
                  <c:v>1103.02</c:v>
                </c:pt>
                <c:pt idx="14">
                  <c:v>1161.5999999999999</c:v>
                </c:pt>
                <c:pt idx="15">
                  <c:v>1165.6399999999999</c:v>
                </c:pt>
                <c:pt idx="16">
                  <c:v>1187.8599999999999</c:v>
                </c:pt>
                <c:pt idx="17">
                  <c:v>1191.9000000000001</c:v>
                </c:pt>
                <c:pt idx="18">
                  <c:v>1161.5999999999999</c:v>
                </c:pt>
                <c:pt idx="19">
                  <c:v>1141.4000000000001</c:v>
                </c:pt>
                <c:pt idx="20">
                  <c:v>1171.6999999999998</c:v>
                </c:pt>
                <c:pt idx="21">
                  <c:v>1161.5999999999999</c:v>
                </c:pt>
                <c:pt idx="22">
                  <c:v>1175.74</c:v>
                </c:pt>
                <c:pt idx="23">
                  <c:v>1218.1599999999999</c:v>
                </c:pt>
                <c:pt idx="24">
                  <c:v>1210.08</c:v>
                </c:pt>
                <c:pt idx="25">
                  <c:v>1141.4000000000001</c:v>
                </c:pt>
                <c:pt idx="26">
                  <c:v>1181.7999999999997</c:v>
                </c:pt>
                <c:pt idx="27">
                  <c:v>1199.98</c:v>
                </c:pt>
                <c:pt idx="28">
                  <c:v>1175.74</c:v>
                </c:pt>
                <c:pt idx="29">
                  <c:v>1189.8799999999999</c:v>
                </c:pt>
                <c:pt idx="30">
                  <c:v>1214.1199999999999</c:v>
                </c:pt>
                <c:pt idx="31">
                  <c:v>1242.4000000000001</c:v>
                </c:pt>
                <c:pt idx="32">
                  <c:v>1230.28</c:v>
                </c:pt>
                <c:pt idx="33">
                  <c:v>1232.2999999999997</c:v>
                </c:pt>
                <c:pt idx="34">
                  <c:v>1232.2999999999997</c:v>
                </c:pt>
                <c:pt idx="35">
                  <c:v>1226.24</c:v>
                </c:pt>
                <c:pt idx="36">
                  <c:v>1296.9399999999998</c:v>
                </c:pt>
                <c:pt idx="37">
                  <c:v>1280.78</c:v>
                </c:pt>
                <c:pt idx="38">
                  <c:v>1424.1999999999998</c:v>
                </c:pt>
                <c:pt idx="39">
                  <c:v>1389.86</c:v>
                </c:pt>
                <c:pt idx="40">
                  <c:v>1414.1</c:v>
                </c:pt>
                <c:pt idx="41">
                  <c:v>1414.1</c:v>
                </c:pt>
                <c:pt idx="42">
                  <c:v>1412.08</c:v>
                </c:pt>
                <c:pt idx="43">
                  <c:v>1389.86</c:v>
                </c:pt>
                <c:pt idx="44">
                  <c:v>1401.98</c:v>
                </c:pt>
                <c:pt idx="45">
                  <c:v>1414.1</c:v>
                </c:pt>
                <c:pt idx="46">
                  <c:v>1410.06</c:v>
                </c:pt>
                <c:pt idx="47">
                  <c:v>1377.74</c:v>
                </c:pt>
                <c:pt idx="48">
                  <c:v>1369.6599999999999</c:v>
                </c:pt>
                <c:pt idx="49">
                  <c:v>1383.7999999999997</c:v>
                </c:pt>
                <c:pt idx="50">
                  <c:v>1357.54</c:v>
                </c:pt>
                <c:pt idx="51">
                  <c:v>1343.4</c:v>
                </c:pt>
                <c:pt idx="52">
                  <c:v>1345.4199999999998</c:v>
                </c:pt>
                <c:pt idx="53">
                  <c:v>1353.5</c:v>
                </c:pt>
                <c:pt idx="54">
                  <c:v>1347.4399999999998</c:v>
                </c:pt>
                <c:pt idx="55">
                  <c:v>1353.5</c:v>
                </c:pt>
                <c:pt idx="56">
                  <c:v>1353.5</c:v>
                </c:pt>
                <c:pt idx="57">
                  <c:v>1363.6</c:v>
                </c:pt>
                <c:pt idx="58">
                  <c:v>1365.62</c:v>
                </c:pt>
                <c:pt idx="59">
                  <c:v>1395.9199999999998</c:v>
                </c:pt>
                <c:pt idx="60">
                  <c:v>1422.1799999999998</c:v>
                </c:pt>
                <c:pt idx="61">
                  <c:v>1430.26</c:v>
                </c:pt>
                <c:pt idx="62">
                  <c:v>1432.28</c:v>
                </c:pt>
                <c:pt idx="63">
                  <c:v>1474.6999999999998</c:v>
                </c:pt>
                <c:pt idx="64">
                  <c:v>1476.7199999999998</c:v>
                </c:pt>
                <c:pt idx="65">
                  <c:v>1515.1</c:v>
                </c:pt>
                <c:pt idx="66">
                  <c:v>1543.3799999999999</c:v>
                </c:pt>
                <c:pt idx="67">
                  <c:v>1555.5</c:v>
                </c:pt>
                <c:pt idx="68">
                  <c:v>1565.6</c:v>
                </c:pt>
                <c:pt idx="69">
                  <c:v>1535.2999999999997</c:v>
                </c:pt>
                <c:pt idx="70">
                  <c:v>1555.5</c:v>
                </c:pt>
                <c:pt idx="71">
                  <c:v>1545.4</c:v>
                </c:pt>
                <c:pt idx="72">
                  <c:v>1565.6</c:v>
                </c:pt>
                <c:pt idx="73">
                  <c:v>1555.5</c:v>
                </c:pt>
                <c:pt idx="74">
                  <c:v>1557.52</c:v>
                </c:pt>
                <c:pt idx="75">
                  <c:v>1539.34</c:v>
                </c:pt>
                <c:pt idx="76">
                  <c:v>1622.1599999999999</c:v>
                </c:pt>
                <c:pt idx="77">
                  <c:v>1640.3399999999997</c:v>
                </c:pt>
                <c:pt idx="78">
                  <c:v>1634.28</c:v>
                </c:pt>
                <c:pt idx="79">
                  <c:v>1648.4199999999998</c:v>
                </c:pt>
                <c:pt idx="80">
                  <c:v>1666.6</c:v>
                </c:pt>
                <c:pt idx="81">
                  <c:v>1666.6</c:v>
                </c:pt>
                <c:pt idx="82">
                  <c:v>1658.52</c:v>
                </c:pt>
                <c:pt idx="83">
                  <c:v>1608.02</c:v>
                </c:pt>
                <c:pt idx="84">
                  <c:v>1612.06</c:v>
                </c:pt>
                <c:pt idx="85">
                  <c:v>1654.4799999999998</c:v>
                </c:pt>
                <c:pt idx="86">
                  <c:v>1682.76</c:v>
                </c:pt>
                <c:pt idx="87">
                  <c:v>1614.08</c:v>
                </c:pt>
                <c:pt idx="88">
                  <c:v>1591.86</c:v>
                </c:pt>
                <c:pt idx="89">
                  <c:v>1575.6999999999998</c:v>
                </c:pt>
                <c:pt idx="90">
                  <c:v>1545.4</c:v>
                </c:pt>
                <c:pt idx="91">
                  <c:v>1543.3799999999999</c:v>
                </c:pt>
                <c:pt idx="92">
                  <c:v>1551.4599999999998</c:v>
                </c:pt>
                <c:pt idx="93">
                  <c:v>1537.32</c:v>
                </c:pt>
                <c:pt idx="94">
                  <c:v>1561.56</c:v>
                </c:pt>
                <c:pt idx="95">
                  <c:v>1561.56</c:v>
                </c:pt>
                <c:pt idx="96">
                  <c:v>1581.76</c:v>
                </c:pt>
                <c:pt idx="97">
                  <c:v>1571.6599999999999</c:v>
                </c:pt>
                <c:pt idx="98">
                  <c:v>1565.6</c:v>
                </c:pt>
                <c:pt idx="99">
                  <c:v>1599.9399999999998</c:v>
                </c:pt>
                <c:pt idx="100">
                  <c:v>1597.9199999999998</c:v>
                </c:pt>
                <c:pt idx="101">
                  <c:v>1618.12</c:v>
                </c:pt>
                <c:pt idx="102">
                  <c:v>1569.6399999999999</c:v>
                </c:pt>
                <c:pt idx="103">
                  <c:v>1507.02</c:v>
                </c:pt>
                <c:pt idx="104">
                  <c:v>1502.98</c:v>
                </c:pt>
                <c:pt idx="105">
                  <c:v>1507.02</c:v>
                </c:pt>
                <c:pt idx="106">
                  <c:v>1547.4199999999998</c:v>
                </c:pt>
                <c:pt idx="107">
                  <c:v>1547.4199999999998</c:v>
                </c:pt>
                <c:pt idx="108">
                  <c:v>1525.1999999999998</c:v>
                </c:pt>
                <c:pt idx="109">
                  <c:v>1575.6999999999998</c:v>
                </c:pt>
                <c:pt idx="110">
                  <c:v>1547.4199999999998</c:v>
                </c:pt>
                <c:pt idx="111">
                  <c:v>1595.9</c:v>
                </c:pt>
                <c:pt idx="112">
                  <c:v>1632.26</c:v>
                </c:pt>
                <c:pt idx="113">
                  <c:v>1644.38</c:v>
                </c:pt>
                <c:pt idx="114">
                  <c:v>1628.22</c:v>
                </c:pt>
                <c:pt idx="115">
                  <c:v>1616.1</c:v>
                </c:pt>
                <c:pt idx="116">
                  <c:v>1579.74</c:v>
                </c:pt>
                <c:pt idx="117">
                  <c:v>1563.58</c:v>
                </c:pt>
                <c:pt idx="118">
                  <c:v>1573.6799999999998</c:v>
                </c:pt>
                <c:pt idx="119">
                  <c:v>1561.56</c:v>
                </c:pt>
                <c:pt idx="120">
                  <c:v>1571.6599999999999</c:v>
                </c:pt>
                <c:pt idx="121">
                  <c:v>1620.1399999999999</c:v>
                </c:pt>
                <c:pt idx="122">
                  <c:v>1624.1799999999998</c:v>
                </c:pt>
                <c:pt idx="123">
                  <c:v>1603.98</c:v>
                </c:pt>
                <c:pt idx="124">
                  <c:v>1610.04</c:v>
                </c:pt>
                <c:pt idx="125">
                  <c:v>1620.1399999999999</c:v>
                </c:pt>
                <c:pt idx="126">
                  <c:v>1644.38</c:v>
                </c:pt>
                <c:pt idx="127">
                  <c:v>1694.88</c:v>
                </c:pt>
                <c:pt idx="128">
                  <c:v>1678.72</c:v>
                </c:pt>
                <c:pt idx="129">
                  <c:v>1733.26</c:v>
                </c:pt>
                <c:pt idx="130">
                  <c:v>1636.2999999999997</c:v>
                </c:pt>
                <c:pt idx="131">
                  <c:v>1652.4599999999998</c:v>
                </c:pt>
                <c:pt idx="132">
                  <c:v>1666.6</c:v>
                </c:pt>
                <c:pt idx="133">
                  <c:v>1704.9799999999998</c:v>
                </c:pt>
                <c:pt idx="134">
                  <c:v>1692.8600000000001</c:v>
                </c:pt>
                <c:pt idx="135">
                  <c:v>1702.9599999999998</c:v>
                </c:pt>
                <c:pt idx="136">
                  <c:v>1696.9</c:v>
                </c:pt>
                <c:pt idx="137">
                  <c:v>1638.3199999999997</c:v>
                </c:pt>
                <c:pt idx="138">
                  <c:v>1622.1599999999999</c:v>
                </c:pt>
                <c:pt idx="139">
                  <c:v>1575.6999999999998</c:v>
                </c:pt>
                <c:pt idx="140">
                  <c:v>1567.62</c:v>
                </c:pt>
                <c:pt idx="141">
                  <c:v>1559.54</c:v>
                </c:pt>
                <c:pt idx="142">
                  <c:v>1597.9199999999998</c:v>
                </c:pt>
                <c:pt idx="143">
                  <c:v>1636.2999999999997</c:v>
                </c:pt>
                <c:pt idx="144">
                  <c:v>1670.6399999999999</c:v>
                </c:pt>
                <c:pt idx="145">
                  <c:v>1636.2999999999997</c:v>
                </c:pt>
                <c:pt idx="146">
                  <c:v>1696.9</c:v>
                </c:pt>
                <c:pt idx="147">
                  <c:v>1694.88</c:v>
                </c:pt>
                <c:pt idx="148">
                  <c:v>1706.9999999999998</c:v>
                </c:pt>
                <c:pt idx="149">
                  <c:v>1696.9</c:v>
                </c:pt>
                <c:pt idx="150">
                  <c:v>1721.1399999999999</c:v>
                </c:pt>
                <c:pt idx="151">
                  <c:v>1650.4399999999998</c:v>
                </c:pt>
                <c:pt idx="152">
                  <c:v>1638.3199999999997</c:v>
                </c:pt>
                <c:pt idx="153">
                  <c:v>1634.28</c:v>
                </c:pt>
                <c:pt idx="154">
                  <c:v>1676.7</c:v>
                </c:pt>
                <c:pt idx="155">
                  <c:v>1711.04</c:v>
                </c:pt>
                <c:pt idx="156">
                  <c:v>1654.4799999999998</c:v>
                </c:pt>
                <c:pt idx="157">
                  <c:v>1654.4799999999998</c:v>
                </c:pt>
                <c:pt idx="158">
                  <c:v>1648.4199999999998</c:v>
                </c:pt>
                <c:pt idx="159">
                  <c:v>1648.4199999999998</c:v>
                </c:pt>
                <c:pt idx="160">
                  <c:v>1676.7</c:v>
                </c:pt>
                <c:pt idx="161">
                  <c:v>1696.9</c:v>
                </c:pt>
                <c:pt idx="162">
                  <c:v>1702.9599999999998</c:v>
                </c:pt>
                <c:pt idx="163">
                  <c:v>1713.06</c:v>
                </c:pt>
                <c:pt idx="164">
                  <c:v>1878.7</c:v>
                </c:pt>
                <c:pt idx="165">
                  <c:v>1852.4399999999998</c:v>
                </c:pt>
                <c:pt idx="166">
                  <c:v>1787.7999999999997</c:v>
                </c:pt>
                <c:pt idx="167">
                  <c:v>1755.4799999999998</c:v>
                </c:pt>
                <c:pt idx="168">
                  <c:v>1789.8199999999997</c:v>
                </c:pt>
                <c:pt idx="169">
                  <c:v>1805.9799999999998</c:v>
                </c:pt>
                <c:pt idx="170">
                  <c:v>1757.4999999999998</c:v>
                </c:pt>
                <c:pt idx="171">
                  <c:v>1706.9999999999998</c:v>
                </c:pt>
                <c:pt idx="172">
                  <c:v>1688.8199999999997</c:v>
                </c:pt>
                <c:pt idx="173">
                  <c:v>1696.9</c:v>
                </c:pt>
                <c:pt idx="174">
                  <c:v>1644.38</c:v>
                </c:pt>
                <c:pt idx="175">
                  <c:v>1601.9599999999998</c:v>
                </c:pt>
                <c:pt idx="176">
                  <c:v>1620.1399999999999</c:v>
                </c:pt>
                <c:pt idx="177">
                  <c:v>1525.1999999999998</c:v>
                </c:pt>
                <c:pt idx="178">
                  <c:v>1498.9399999999998</c:v>
                </c:pt>
                <c:pt idx="179">
                  <c:v>1494.9</c:v>
                </c:pt>
                <c:pt idx="180">
                  <c:v>1494.9</c:v>
                </c:pt>
                <c:pt idx="181">
                  <c:v>1545.4</c:v>
                </c:pt>
                <c:pt idx="182">
                  <c:v>1595.9</c:v>
                </c:pt>
                <c:pt idx="183">
                  <c:v>1513.08</c:v>
                </c:pt>
                <c:pt idx="184">
                  <c:v>1515.1</c:v>
                </c:pt>
                <c:pt idx="185">
                  <c:v>1521.1599999999999</c:v>
                </c:pt>
                <c:pt idx="186">
                  <c:v>1533.28</c:v>
                </c:pt>
                <c:pt idx="187">
                  <c:v>1606</c:v>
                </c:pt>
                <c:pt idx="188">
                  <c:v>1624.1799999999998</c:v>
                </c:pt>
                <c:pt idx="189">
                  <c:v>1616.1</c:v>
                </c:pt>
                <c:pt idx="190">
                  <c:v>1640.3399999999997</c:v>
                </c:pt>
                <c:pt idx="191">
                  <c:v>1559.54</c:v>
                </c:pt>
                <c:pt idx="192">
                  <c:v>1507.02</c:v>
                </c:pt>
                <c:pt idx="193">
                  <c:v>1494.9</c:v>
                </c:pt>
                <c:pt idx="194">
                  <c:v>1521.1599999999999</c:v>
                </c:pt>
                <c:pt idx="195">
                  <c:v>1454.5</c:v>
                </c:pt>
                <c:pt idx="196">
                  <c:v>1404</c:v>
                </c:pt>
                <c:pt idx="197">
                  <c:v>1395.9199999999998</c:v>
                </c:pt>
                <c:pt idx="198">
                  <c:v>1385.82</c:v>
                </c:pt>
                <c:pt idx="199">
                  <c:v>1505</c:v>
                </c:pt>
                <c:pt idx="200">
                  <c:v>1454.5</c:v>
                </c:pt>
                <c:pt idx="201">
                  <c:v>1482.78</c:v>
                </c:pt>
                <c:pt idx="202">
                  <c:v>1507.02</c:v>
                </c:pt>
                <c:pt idx="203">
                  <c:v>1515.1</c:v>
                </c:pt>
                <c:pt idx="204">
                  <c:v>1505</c:v>
                </c:pt>
                <c:pt idx="205">
                  <c:v>1482.78</c:v>
                </c:pt>
                <c:pt idx="206">
                  <c:v>1567.62</c:v>
                </c:pt>
                <c:pt idx="207">
                  <c:v>1545.4</c:v>
                </c:pt>
                <c:pt idx="208">
                  <c:v>1545.4</c:v>
                </c:pt>
                <c:pt idx="209">
                  <c:v>1589.84</c:v>
                </c:pt>
                <c:pt idx="210">
                  <c:v>1563.58</c:v>
                </c:pt>
                <c:pt idx="211">
                  <c:v>1545.4</c:v>
                </c:pt>
                <c:pt idx="212">
                  <c:v>1577.7199999999998</c:v>
                </c:pt>
                <c:pt idx="213">
                  <c:v>1549.4399999999998</c:v>
                </c:pt>
                <c:pt idx="214">
                  <c:v>1573.6799999999998</c:v>
                </c:pt>
                <c:pt idx="215">
                  <c:v>1587.82</c:v>
                </c:pt>
                <c:pt idx="216">
                  <c:v>1595.9</c:v>
                </c:pt>
                <c:pt idx="217">
                  <c:v>1603.98</c:v>
                </c:pt>
                <c:pt idx="218">
                  <c:v>1650.4399999999998</c:v>
                </c:pt>
                <c:pt idx="219">
                  <c:v>1745.38</c:v>
                </c:pt>
                <c:pt idx="220">
                  <c:v>1674.6799999999998</c:v>
                </c:pt>
                <c:pt idx="221">
                  <c:v>1696.9</c:v>
                </c:pt>
                <c:pt idx="222">
                  <c:v>1686.7999999999997</c:v>
                </c:pt>
                <c:pt idx="223">
                  <c:v>1648.4199999999998</c:v>
                </c:pt>
                <c:pt idx="224">
                  <c:v>1652.4599999999998</c:v>
                </c:pt>
                <c:pt idx="225">
                  <c:v>1557.52</c:v>
                </c:pt>
                <c:pt idx="226">
                  <c:v>1537.32</c:v>
                </c:pt>
                <c:pt idx="227">
                  <c:v>1545.4</c:v>
                </c:pt>
                <c:pt idx="228">
                  <c:v>1498.9399999999998</c:v>
                </c:pt>
                <c:pt idx="229">
                  <c:v>1470.6599999999999</c:v>
                </c:pt>
                <c:pt idx="230">
                  <c:v>1513.08</c:v>
                </c:pt>
                <c:pt idx="231">
                  <c:v>1517.12</c:v>
                </c:pt>
                <c:pt idx="232">
                  <c:v>1569.6399999999999</c:v>
                </c:pt>
                <c:pt idx="233">
                  <c:v>1531.26</c:v>
                </c:pt>
                <c:pt idx="234">
                  <c:v>1535.2999999999997</c:v>
                </c:pt>
                <c:pt idx="235">
                  <c:v>1591.86</c:v>
                </c:pt>
                <c:pt idx="236">
                  <c:v>1585.7999999999997</c:v>
                </c:pt>
                <c:pt idx="237">
                  <c:v>1585.7999999999997</c:v>
                </c:pt>
                <c:pt idx="238">
                  <c:v>1583.78</c:v>
                </c:pt>
                <c:pt idx="239">
                  <c:v>1567.62</c:v>
                </c:pt>
                <c:pt idx="240">
                  <c:v>1531.26</c:v>
                </c:pt>
                <c:pt idx="241">
                  <c:v>1494.9</c:v>
                </c:pt>
                <c:pt idx="242">
                  <c:v>1507.02</c:v>
                </c:pt>
                <c:pt idx="243">
                  <c:v>1571.6599999999999</c:v>
                </c:pt>
                <c:pt idx="244">
                  <c:v>1533.28</c:v>
                </c:pt>
                <c:pt idx="245">
                  <c:v>1500.9599999999998</c:v>
                </c:pt>
                <c:pt idx="246">
                  <c:v>1490.86</c:v>
                </c:pt>
                <c:pt idx="247">
                  <c:v>1486.82</c:v>
                </c:pt>
                <c:pt idx="248">
                  <c:v>1468.6399999999999</c:v>
                </c:pt>
                <c:pt idx="249">
                  <c:v>1484.7999999999997</c:v>
                </c:pt>
                <c:pt idx="250">
                  <c:v>1502.98</c:v>
                </c:pt>
                <c:pt idx="251">
                  <c:v>1537.32</c:v>
                </c:pt>
                <c:pt idx="252">
                  <c:v>1687.81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A-4E57-AC72-DDF1A6AC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470648"/>
        <c:axId val="388467120"/>
      </c:lineChart>
      <c:dateAx>
        <c:axId val="388470648"/>
        <c:scaling>
          <c:orientation val="minMax"/>
          <c:max val="4586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467120"/>
        <c:crosses val="autoZero"/>
        <c:auto val="1"/>
        <c:lblOffset val="100"/>
        <c:baseTimeUnit val="days"/>
      </c:dateAx>
      <c:valAx>
        <c:axId val="388467120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Portfolio</a:t>
                </a:r>
                <a:r>
                  <a:rPr lang="en-US" b="1" baseline="0"/>
                  <a:t> Value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470648"/>
        <c:crosses val="autoZero"/>
        <c:crossBetween val="between"/>
      </c:valAx>
      <c:spPr>
        <a:solidFill>
          <a:schemeClr val="bg1"/>
        </a:solidFill>
        <a:ln>
          <a:solidFill>
            <a:srgbClr val="FF0000"/>
          </a:solidFill>
        </a:ln>
        <a:effectLst/>
      </c:spPr>
    </c:plotArea>
    <c:legend>
      <c:legendPos val="r"/>
      <c:layout>
        <c:manualLayout>
          <c:xMode val="edge"/>
          <c:yMode val="edge"/>
          <c:x val="0.7429099988882536"/>
          <c:y val="0.51345927550633985"/>
          <c:w val="0.15736933364508765"/>
          <c:h val="0.10893786169404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</a:t>
            </a:r>
            <a:r>
              <a:rPr lang="en-US" baseline="0"/>
              <a:t> Trade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62113624074939"/>
          <c:y val="0.10025945404457801"/>
          <c:w val="0.855781270307998"/>
          <c:h val="0.79181587778612572"/>
        </c:manualLayout>
      </c:layout>
      <c:lineChart>
        <c:grouping val="standard"/>
        <c:varyColors val="0"/>
        <c:ser>
          <c:idx val="0"/>
          <c:order val="0"/>
          <c:tx>
            <c:strRef>
              <c:f>'SIngle Trade'!$B$1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5.7879376610925341E-2"/>
                  <c:y val="-4.4042358547932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8158239-628E-4068-9977-A09AB31B218C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-Buy</a:t>
                    </a:r>
                    <a:r>
                      <a:rPr lang="en-US" baseline="0"/>
                      <a:t> point- 207 shares bought</a:t>
                    </a:r>
                  </a:p>
                </c:rich>
              </c:tx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253061777949572"/>
                      <c:h val="8.827788109905682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4C5-4579-9277-6F575426499C}"/>
                </c:ext>
              </c:extLst>
            </c:dLbl>
            <c:dLbl>
              <c:idx val="164"/>
              <c:layout>
                <c:manualLayout>
                  <c:x val="2.8582408202926096E-2"/>
                  <c:y val="9.2380684526867946E-3"/>
                </c:manualLayout>
              </c:layout>
              <c:tx>
                <c:rich>
                  <a:bodyPr/>
                  <a:lstStyle/>
                  <a:p>
                    <a:fld id="{A70BC422-243D-412F-B4B7-43F75E7C90F7}" type="VALUE">
                      <a:rPr lang="en-US"/>
                      <a:pPr/>
                      <a:t>[VALUE]</a:t>
                    </a:fld>
                    <a:r>
                      <a:rPr lang="en-US"/>
                      <a:t>-Sell Point-1925.1 final value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4C5-4579-9277-6F575426499C}"/>
                </c:ext>
              </c:extLst>
            </c:dLbl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'SIngle Trade'!$A$2:$A$254</c:f>
              <c:numCache>
                <c:formatCode>m/d/yyyy</c:formatCode>
                <c:ptCount val="25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45492</c:v>
                </c:pt>
                <c:pt idx="15">
                  <c:v>45495</c:v>
                </c:pt>
                <c:pt idx="16">
                  <c:v>45496</c:v>
                </c:pt>
                <c:pt idx="17">
                  <c:v>45497</c:v>
                </c:pt>
                <c:pt idx="18">
                  <c:v>45498</c:v>
                </c:pt>
                <c:pt idx="19">
                  <c:v>45499</c:v>
                </c:pt>
                <c:pt idx="20">
                  <c:v>45502</c:v>
                </c:pt>
                <c:pt idx="21">
                  <c:v>45503</c:v>
                </c:pt>
                <c:pt idx="22">
                  <c:v>45504</c:v>
                </c:pt>
                <c:pt idx="23">
                  <c:v>45505</c:v>
                </c:pt>
                <c:pt idx="24">
                  <c:v>45506</c:v>
                </c:pt>
                <c:pt idx="25">
                  <c:v>45509</c:v>
                </c:pt>
                <c:pt idx="26">
                  <c:v>45510</c:v>
                </c:pt>
                <c:pt idx="27">
                  <c:v>45511</c:v>
                </c:pt>
                <c:pt idx="28">
                  <c:v>45512</c:v>
                </c:pt>
                <c:pt idx="29">
                  <c:v>45513</c:v>
                </c:pt>
                <c:pt idx="30">
                  <c:v>45516</c:v>
                </c:pt>
                <c:pt idx="31">
                  <c:v>45517</c:v>
                </c:pt>
                <c:pt idx="32">
                  <c:v>45518</c:v>
                </c:pt>
                <c:pt idx="33">
                  <c:v>45519</c:v>
                </c:pt>
                <c:pt idx="34">
                  <c:v>45520</c:v>
                </c:pt>
                <c:pt idx="35">
                  <c:v>45523</c:v>
                </c:pt>
                <c:pt idx="36">
                  <c:v>45524</c:v>
                </c:pt>
                <c:pt idx="37">
                  <c:v>45525</c:v>
                </c:pt>
                <c:pt idx="38">
                  <c:v>45526</c:v>
                </c:pt>
                <c:pt idx="39">
                  <c:v>45527</c:v>
                </c:pt>
                <c:pt idx="40">
                  <c:v>45530</c:v>
                </c:pt>
                <c:pt idx="41">
                  <c:v>45531</c:v>
                </c:pt>
                <c:pt idx="42">
                  <c:v>45532</c:v>
                </c:pt>
                <c:pt idx="43">
                  <c:v>45533</c:v>
                </c:pt>
                <c:pt idx="44">
                  <c:v>45534</c:v>
                </c:pt>
                <c:pt idx="45">
                  <c:v>45537</c:v>
                </c:pt>
                <c:pt idx="46">
                  <c:v>45538</c:v>
                </c:pt>
                <c:pt idx="47">
                  <c:v>45539</c:v>
                </c:pt>
                <c:pt idx="48">
                  <c:v>45540</c:v>
                </c:pt>
                <c:pt idx="49">
                  <c:v>45541</c:v>
                </c:pt>
                <c:pt idx="50">
                  <c:v>45544</c:v>
                </c:pt>
                <c:pt idx="51">
                  <c:v>45545</c:v>
                </c:pt>
                <c:pt idx="52">
                  <c:v>45546</c:v>
                </c:pt>
                <c:pt idx="53">
                  <c:v>45547</c:v>
                </c:pt>
                <c:pt idx="54">
                  <c:v>45548</c:v>
                </c:pt>
                <c:pt idx="55">
                  <c:v>45551</c:v>
                </c:pt>
                <c:pt idx="56">
                  <c:v>45552</c:v>
                </c:pt>
                <c:pt idx="57">
                  <c:v>45553</c:v>
                </c:pt>
                <c:pt idx="58">
                  <c:v>45554</c:v>
                </c:pt>
                <c:pt idx="59">
                  <c:v>45555</c:v>
                </c:pt>
                <c:pt idx="60">
                  <c:v>45558</c:v>
                </c:pt>
                <c:pt idx="61">
                  <c:v>45559</c:v>
                </c:pt>
                <c:pt idx="62">
                  <c:v>45560</c:v>
                </c:pt>
                <c:pt idx="63">
                  <c:v>45561</c:v>
                </c:pt>
                <c:pt idx="64">
                  <c:v>45562</c:v>
                </c:pt>
                <c:pt idx="65">
                  <c:v>45565</c:v>
                </c:pt>
                <c:pt idx="66">
                  <c:v>45566</c:v>
                </c:pt>
                <c:pt idx="67">
                  <c:v>45567</c:v>
                </c:pt>
                <c:pt idx="68">
                  <c:v>45568</c:v>
                </c:pt>
                <c:pt idx="69">
                  <c:v>45569</c:v>
                </c:pt>
                <c:pt idx="70">
                  <c:v>45572</c:v>
                </c:pt>
                <c:pt idx="71">
                  <c:v>45573</c:v>
                </c:pt>
                <c:pt idx="72">
                  <c:v>45574</c:v>
                </c:pt>
                <c:pt idx="73">
                  <c:v>45575</c:v>
                </c:pt>
                <c:pt idx="74">
                  <c:v>45576</c:v>
                </c:pt>
                <c:pt idx="75">
                  <c:v>45579</c:v>
                </c:pt>
                <c:pt idx="76">
                  <c:v>45580</c:v>
                </c:pt>
                <c:pt idx="77">
                  <c:v>45581</c:v>
                </c:pt>
                <c:pt idx="78">
                  <c:v>45582</c:v>
                </c:pt>
                <c:pt idx="79">
                  <c:v>45583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45593</c:v>
                </c:pt>
                <c:pt idx="86">
                  <c:v>45594</c:v>
                </c:pt>
                <c:pt idx="87">
                  <c:v>45595</c:v>
                </c:pt>
                <c:pt idx="88">
                  <c:v>45596</c:v>
                </c:pt>
                <c:pt idx="89">
                  <c:v>45597</c:v>
                </c:pt>
                <c:pt idx="90">
                  <c:v>45600</c:v>
                </c:pt>
                <c:pt idx="91">
                  <c:v>45601</c:v>
                </c:pt>
                <c:pt idx="92">
                  <c:v>45602</c:v>
                </c:pt>
                <c:pt idx="93">
                  <c:v>45603</c:v>
                </c:pt>
                <c:pt idx="94">
                  <c:v>45604</c:v>
                </c:pt>
                <c:pt idx="95">
                  <c:v>45607</c:v>
                </c:pt>
                <c:pt idx="96">
                  <c:v>45608</c:v>
                </c:pt>
                <c:pt idx="97">
                  <c:v>45609</c:v>
                </c:pt>
                <c:pt idx="98">
                  <c:v>45610</c:v>
                </c:pt>
                <c:pt idx="99">
                  <c:v>45611</c:v>
                </c:pt>
                <c:pt idx="100">
                  <c:v>45614</c:v>
                </c:pt>
                <c:pt idx="101">
                  <c:v>45615</c:v>
                </c:pt>
                <c:pt idx="102">
                  <c:v>45616</c:v>
                </c:pt>
                <c:pt idx="103">
                  <c:v>45617</c:v>
                </c:pt>
                <c:pt idx="104">
                  <c:v>45618</c:v>
                </c:pt>
                <c:pt idx="105">
                  <c:v>45621</c:v>
                </c:pt>
                <c:pt idx="106">
                  <c:v>45622</c:v>
                </c:pt>
                <c:pt idx="107">
                  <c:v>45623</c:v>
                </c:pt>
                <c:pt idx="108">
                  <c:v>45624</c:v>
                </c:pt>
                <c:pt idx="109">
                  <c:v>45625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45635</c:v>
                </c:pt>
                <c:pt idx="116">
                  <c:v>45636</c:v>
                </c:pt>
                <c:pt idx="117">
                  <c:v>45637</c:v>
                </c:pt>
                <c:pt idx="118">
                  <c:v>45638</c:v>
                </c:pt>
                <c:pt idx="119">
                  <c:v>45639</c:v>
                </c:pt>
                <c:pt idx="120">
                  <c:v>45642</c:v>
                </c:pt>
                <c:pt idx="121">
                  <c:v>45643</c:v>
                </c:pt>
                <c:pt idx="122">
                  <c:v>45644</c:v>
                </c:pt>
                <c:pt idx="123">
                  <c:v>45645</c:v>
                </c:pt>
                <c:pt idx="124">
                  <c:v>45646</c:v>
                </c:pt>
                <c:pt idx="125">
                  <c:v>45649</c:v>
                </c:pt>
                <c:pt idx="126">
                  <c:v>45650</c:v>
                </c:pt>
                <c:pt idx="127">
                  <c:v>45653</c:v>
                </c:pt>
                <c:pt idx="128">
                  <c:v>45656</c:v>
                </c:pt>
                <c:pt idx="129">
                  <c:v>45657</c:v>
                </c:pt>
                <c:pt idx="130">
                  <c:v>45659</c:v>
                </c:pt>
                <c:pt idx="131">
                  <c:v>45660</c:v>
                </c:pt>
                <c:pt idx="132">
                  <c:v>45663</c:v>
                </c:pt>
                <c:pt idx="133">
                  <c:v>45664</c:v>
                </c:pt>
                <c:pt idx="134">
                  <c:v>45665</c:v>
                </c:pt>
                <c:pt idx="135">
                  <c:v>45666</c:v>
                </c:pt>
                <c:pt idx="136">
                  <c:v>45667</c:v>
                </c:pt>
                <c:pt idx="137">
                  <c:v>45670</c:v>
                </c:pt>
                <c:pt idx="138">
                  <c:v>45671</c:v>
                </c:pt>
                <c:pt idx="139">
                  <c:v>45672</c:v>
                </c:pt>
                <c:pt idx="140">
                  <c:v>45673</c:v>
                </c:pt>
                <c:pt idx="141">
                  <c:v>45674</c:v>
                </c:pt>
                <c:pt idx="142">
                  <c:v>45677</c:v>
                </c:pt>
                <c:pt idx="143">
                  <c:v>45678</c:v>
                </c:pt>
                <c:pt idx="144">
                  <c:v>45679</c:v>
                </c:pt>
                <c:pt idx="145">
                  <c:v>45680</c:v>
                </c:pt>
                <c:pt idx="146">
                  <c:v>45681</c:v>
                </c:pt>
                <c:pt idx="147">
                  <c:v>45685</c:v>
                </c:pt>
                <c:pt idx="148">
                  <c:v>45686</c:v>
                </c:pt>
                <c:pt idx="149">
                  <c:v>45687</c:v>
                </c:pt>
                <c:pt idx="150">
                  <c:v>45688</c:v>
                </c:pt>
                <c:pt idx="151">
                  <c:v>45691</c:v>
                </c:pt>
                <c:pt idx="152">
                  <c:v>45692</c:v>
                </c:pt>
                <c:pt idx="153">
                  <c:v>45693</c:v>
                </c:pt>
                <c:pt idx="154">
                  <c:v>45694</c:v>
                </c:pt>
                <c:pt idx="155">
                  <c:v>45695</c:v>
                </c:pt>
                <c:pt idx="156">
                  <c:v>45698</c:v>
                </c:pt>
                <c:pt idx="157">
                  <c:v>45699</c:v>
                </c:pt>
                <c:pt idx="158">
                  <c:v>45700</c:v>
                </c:pt>
                <c:pt idx="159">
                  <c:v>45701</c:v>
                </c:pt>
                <c:pt idx="160">
                  <c:v>45702</c:v>
                </c:pt>
                <c:pt idx="161">
                  <c:v>45705</c:v>
                </c:pt>
                <c:pt idx="162">
                  <c:v>45706</c:v>
                </c:pt>
                <c:pt idx="163">
                  <c:v>45707</c:v>
                </c:pt>
                <c:pt idx="164">
                  <c:v>45708</c:v>
                </c:pt>
                <c:pt idx="165">
                  <c:v>45709</c:v>
                </c:pt>
                <c:pt idx="166">
                  <c:v>45712</c:v>
                </c:pt>
                <c:pt idx="167">
                  <c:v>45713</c:v>
                </c:pt>
                <c:pt idx="168">
                  <c:v>45714</c:v>
                </c:pt>
                <c:pt idx="169">
                  <c:v>45715</c:v>
                </c:pt>
                <c:pt idx="170">
                  <c:v>45716</c:v>
                </c:pt>
                <c:pt idx="171">
                  <c:v>45719</c:v>
                </c:pt>
                <c:pt idx="172">
                  <c:v>45720</c:v>
                </c:pt>
                <c:pt idx="173">
                  <c:v>45721</c:v>
                </c:pt>
                <c:pt idx="174">
                  <c:v>45722</c:v>
                </c:pt>
                <c:pt idx="175">
                  <c:v>45723</c:v>
                </c:pt>
                <c:pt idx="176">
                  <c:v>45726</c:v>
                </c:pt>
                <c:pt idx="177">
                  <c:v>45727</c:v>
                </c:pt>
                <c:pt idx="178">
                  <c:v>45728</c:v>
                </c:pt>
                <c:pt idx="179">
                  <c:v>45729</c:v>
                </c:pt>
                <c:pt idx="180">
                  <c:v>45730</c:v>
                </c:pt>
                <c:pt idx="181">
                  <c:v>45733</c:v>
                </c:pt>
                <c:pt idx="182">
                  <c:v>45734</c:v>
                </c:pt>
                <c:pt idx="183">
                  <c:v>45735</c:v>
                </c:pt>
                <c:pt idx="184">
                  <c:v>45736</c:v>
                </c:pt>
                <c:pt idx="185">
                  <c:v>45737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45747</c:v>
                </c:pt>
                <c:pt idx="192">
                  <c:v>45748</c:v>
                </c:pt>
                <c:pt idx="193">
                  <c:v>45749</c:v>
                </c:pt>
                <c:pt idx="194">
                  <c:v>45750</c:v>
                </c:pt>
                <c:pt idx="195">
                  <c:v>45751</c:v>
                </c:pt>
                <c:pt idx="196">
                  <c:v>45754</c:v>
                </c:pt>
                <c:pt idx="197">
                  <c:v>45755</c:v>
                </c:pt>
                <c:pt idx="198">
                  <c:v>45756</c:v>
                </c:pt>
                <c:pt idx="199">
                  <c:v>45757</c:v>
                </c:pt>
                <c:pt idx="200">
                  <c:v>45758</c:v>
                </c:pt>
                <c:pt idx="201">
                  <c:v>45761</c:v>
                </c:pt>
                <c:pt idx="202">
                  <c:v>45762</c:v>
                </c:pt>
                <c:pt idx="203">
                  <c:v>45763</c:v>
                </c:pt>
                <c:pt idx="204">
                  <c:v>45764</c:v>
                </c:pt>
                <c:pt idx="205">
                  <c:v>45769</c:v>
                </c:pt>
                <c:pt idx="206">
                  <c:v>45770</c:v>
                </c:pt>
                <c:pt idx="207">
                  <c:v>45771</c:v>
                </c:pt>
                <c:pt idx="208">
                  <c:v>45775</c:v>
                </c:pt>
                <c:pt idx="209">
                  <c:v>45776</c:v>
                </c:pt>
                <c:pt idx="210">
                  <c:v>45777</c:v>
                </c:pt>
                <c:pt idx="211">
                  <c:v>45778</c:v>
                </c:pt>
                <c:pt idx="212">
                  <c:v>45779</c:v>
                </c:pt>
                <c:pt idx="213">
                  <c:v>45782</c:v>
                </c:pt>
                <c:pt idx="214">
                  <c:v>45783</c:v>
                </c:pt>
                <c:pt idx="215">
                  <c:v>45784</c:v>
                </c:pt>
                <c:pt idx="216">
                  <c:v>45785</c:v>
                </c:pt>
                <c:pt idx="217">
                  <c:v>45786</c:v>
                </c:pt>
                <c:pt idx="218">
                  <c:v>45789</c:v>
                </c:pt>
                <c:pt idx="219">
                  <c:v>45790</c:v>
                </c:pt>
                <c:pt idx="220">
                  <c:v>45791</c:v>
                </c:pt>
                <c:pt idx="221">
                  <c:v>45792</c:v>
                </c:pt>
                <c:pt idx="222">
                  <c:v>45793</c:v>
                </c:pt>
                <c:pt idx="223">
                  <c:v>45796</c:v>
                </c:pt>
                <c:pt idx="224">
                  <c:v>45797</c:v>
                </c:pt>
                <c:pt idx="225">
                  <c:v>45798</c:v>
                </c:pt>
                <c:pt idx="226">
                  <c:v>45799</c:v>
                </c:pt>
                <c:pt idx="227">
                  <c:v>45800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45810</c:v>
                </c:pt>
                <c:pt idx="234">
                  <c:v>45811</c:v>
                </c:pt>
                <c:pt idx="235">
                  <c:v>45812</c:v>
                </c:pt>
                <c:pt idx="236">
                  <c:v>45813</c:v>
                </c:pt>
                <c:pt idx="237">
                  <c:v>45814</c:v>
                </c:pt>
                <c:pt idx="238">
                  <c:v>45818</c:v>
                </c:pt>
                <c:pt idx="239">
                  <c:v>45819</c:v>
                </c:pt>
                <c:pt idx="240">
                  <c:v>45820</c:v>
                </c:pt>
                <c:pt idx="241">
                  <c:v>45821</c:v>
                </c:pt>
                <c:pt idx="242">
                  <c:v>45824</c:v>
                </c:pt>
                <c:pt idx="243">
                  <c:v>45825</c:v>
                </c:pt>
                <c:pt idx="244">
                  <c:v>45826</c:v>
                </c:pt>
                <c:pt idx="245">
                  <c:v>45827</c:v>
                </c:pt>
                <c:pt idx="246">
                  <c:v>45828</c:v>
                </c:pt>
                <c:pt idx="247">
                  <c:v>45831</c:v>
                </c:pt>
                <c:pt idx="248">
                  <c:v>45832</c:v>
                </c:pt>
                <c:pt idx="249">
                  <c:v>45833</c:v>
                </c:pt>
                <c:pt idx="250">
                  <c:v>45834</c:v>
                </c:pt>
                <c:pt idx="251">
                  <c:v>45835</c:v>
                </c:pt>
                <c:pt idx="252">
                  <c:v>45838</c:v>
                </c:pt>
              </c:numCache>
            </c:numRef>
          </c:cat>
          <c:val>
            <c:numRef>
              <c:f>'SIngle Trade'!$B$2:$B$254</c:f>
              <c:numCache>
                <c:formatCode>General</c:formatCode>
                <c:ptCount val="253"/>
                <c:pt idx="0">
                  <c:v>4.95</c:v>
                </c:pt>
                <c:pt idx="1">
                  <c:v>4.96</c:v>
                </c:pt>
                <c:pt idx="2">
                  <c:v>4.8099999999999996</c:v>
                </c:pt>
                <c:pt idx="3">
                  <c:v>4.84</c:v>
                </c:pt>
                <c:pt idx="4">
                  <c:v>4.82</c:v>
                </c:pt>
                <c:pt idx="5">
                  <c:v>4.8099999999999996</c:v>
                </c:pt>
                <c:pt idx="6">
                  <c:v>4.91</c:v>
                </c:pt>
                <c:pt idx="7">
                  <c:v>4.91</c:v>
                </c:pt>
                <c:pt idx="8">
                  <c:v>5</c:v>
                </c:pt>
                <c:pt idx="9">
                  <c:v>5.08</c:v>
                </c:pt>
                <c:pt idx="10">
                  <c:v>4.95</c:v>
                </c:pt>
                <c:pt idx="11">
                  <c:v>5.19</c:v>
                </c:pt>
                <c:pt idx="12">
                  <c:v>5.38</c:v>
                </c:pt>
                <c:pt idx="13">
                  <c:v>5.46</c:v>
                </c:pt>
                <c:pt idx="14">
                  <c:v>5.75</c:v>
                </c:pt>
                <c:pt idx="15">
                  <c:v>5.77</c:v>
                </c:pt>
                <c:pt idx="16">
                  <c:v>5.88</c:v>
                </c:pt>
                <c:pt idx="17">
                  <c:v>5.9</c:v>
                </c:pt>
                <c:pt idx="18">
                  <c:v>5.75</c:v>
                </c:pt>
                <c:pt idx="19">
                  <c:v>5.65</c:v>
                </c:pt>
                <c:pt idx="20">
                  <c:v>5.8</c:v>
                </c:pt>
                <c:pt idx="21">
                  <c:v>5.75</c:v>
                </c:pt>
                <c:pt idx="22">
                  <c:v>5.82</c:v>
                </c:pt>
                <c:pt idx="23">
                  <c:v>6.03</c:v>
                </c:pt>
                <c:pt idx="24">
                  <c:v>5.99</c:v>
                </c:pt>
                <c:pt idx="25">
                  <c:v>5.65</c:v>
                </c:pt>
                <c:pt idx="26">
                  <c:v>5.85</c:v>
                </c:pt>
                <c:pt idx="27">
                  <c:v>5.94</c:v>
                </c:pt>
                <c:pt idx="28">
                  <c:v>5.82</c:v>
                </c:pt>
                <c:pt idx="29">
                  <c:v>5.89</c:v>
                </c:pt>
                <c:pt idx="30">
                  <c:v>6.01</c:v>
                </c:pt>
                <c:pt idx="31">
                  <c:v>6.15</c:v>
                </c:pt>
                <c:pt idx="32">
                  <c:v>6.09</c:v>
                </c:pt>
                <c:pt idx="33">
                  <c:v>6.1</c:v>
                </c:pt>
                <c:pt idx="34">
                  <c:v>6.1</c:v>
                </c:pt>
                <c:pt idx="35">
                  <c:v>6.07</c:v>
                </c:pt>
                <c:pt idx="36">
                  <c:v>6.42</c:v>
                </c:pt>
                <c:pt idx="37">
                  <c:v>6.34</c:v>
                </c:pt>
                <c:pt idx="38">
                  <c:v>7.05</c:v>
                </c:pt>
                <c:pt idx="39">
                  <c:v>6.88</c:v>
                </c:pt>
                <c:pt idx="40">
                  <c:v>7</c:v>
                </c:pt>
                <c:pt idx="41">
                  <c:v>7</c:v>
                </c:pt>
                <c:pt idx="42">
                  <c:v>6.99</c:v>
                </c:pt>
                <c:pt idx="43">
                  <c:v>6.88</c:v>
                </c:pt>
                <c:pt idx="44">
                  <c:v>6.94</c:v>
                </c:pt>
                <c:pt idx="45">
                  <c:v>7</c:v>
                </c:pt>
                <c:pt idx="46">
                  <c:v>6.98</c:v>
                </c:pt>
                <c:pt idx="47">
                  <c:v>6.82</c:v>
                </c:pt>
                <c:pt idx="48">
                  <c:v>6.78</c:v>
                </c:pt>
                <c:pt idx="49">
                  <c:v>6.85</c:v>
                </c:pt>
                <c:pt idx="50">
                  <c:v>6.72</c:v>
                </c:pt>
                <c:pt idx="51">
                  <c:v>6.65</c:v>
                </c:pt>
                <c:pt idx="52">
                  <c:v>6.66</c:v>
                </c:pt>
                <c:pt idx="53">
                  <c:v>6.7</c:v>
                </c:pt>
                <c:pt idx="54">
                  <c:v>6.67</c:v>
                </c:pt>
                <c:pt idx="55">
                  <c:v>6.7</c:v>
                </c:pt>
                <c:pt idx="56">
                  <c:v>6.7</c:v>
                </c:pt>
                <c:pt idx="57">
                  <c:v>6.75</c:v>
                </c:pt>
                <c:pt idx="58">
                  <c:v>6.76</c:v>
                </c:pt>
                <c:pt idx="59">
                  <c:v>6.91</c:v>
                </c:pt>
                <c:pt idx="60">
                  <c:v>7.04</c:v>
                </c:pt>
                <c:pt idx="61">
                  <c:v>7.08</c:v>
                </c:pt>
                <c:pt idx="62">
                  <c:v>7.09</c:v>
                </c:pt>
                <c:pt idx="63">
                  <c:v>7.3</c:v>
                </c:pt>
                <c:pt idx="64">
                  <c:v>7.31</c:v>
                </c:pt>
                <c:pt idx="65">
                  <c:v>7.5</c:v>
                </c:pt>
                <c:pt idx="66">
                  <c:v>7.64</c:v>
                </c:pt>
                <c:pt idx="67">
                  <c:v>7.7</c:v>
                </c:pt>
                <c:pt idx="68">
                  <c:v>7.75</c:v>
                </c:pt>
                <c:pt idx="69">
                  <c:v>7.6</c:v>
                </c:pt>
                <c:pt idx="70">
                  <c:v>7.7</c:v>
                </c:pt>
                <c:pt idx="71">
                  <c:v>7.65</c:v>
                </c:pt>
                <c:pt idx="72">
                  <c:v>7.75</c:v>
                </c:pt>
                <c:pt idx="73">
                  <c:v>7.7</c:v>
                </c:pt>
                <c:pt idx="74">
                  <c:v>7.71</c:v>
                </c:pt>
                <c:pt idx="75">
                  <c:v>7.62</c:v>
                </c:pt>
                <c:pt idx="76">
                  <c:v>8.0299999999999994</c:v>
                </c:pt>
                <c:pt idx="77">
                  <c:v>8.1199999999999992</c:v>
                </c:pt>
                <c:pt idx="78">
                  <c:v>8.09</c:v>
                </c:pt>
                <c:pt idx="79">
                  <c:v>8.16</c:v>
                </c:pt>
                <c:pt idx="80">
                  <c:v>8.25</c:v>
                </c:pt>
                <c:pt idx="81">
                  <c:v>8.25</c:v>
                </c:pt>
                <c:pt idx="82">
                  <c:v>8.2100000000000009</c:v>
                </c:pt>
                <c:pt idx="83">
                  <c:v>7.96</c:v>
                </c:pt>
                <c:pt idx="84">
                  <c:v>7.98</c:v>
                </c:pt>
                <c:pt idx="85">
                  <c:v>8.19</c:v>
                </c:pt>
                <c:pt idx="86">
                  <c:v>8.33</c:v>
                </c:pt>
                <c:pt idx="87">
                  <c:v>7.99</c:v>
                </c:pt>
                <c:pt idx="88">
                  <c:v>7.88</c:v>
                </c:pt>
                <c:pt idx="89">
                  <c:v>7.8</c:v>
                </c:pt>
                <c:pt idx="90">
                  <c:v>7.65</c:v>
                </c:pt>
                <c:pt idx="91">
                  <c:v>7.64</c:v>
                </c:pt>
                <c:pt idx="92">
                  <c:v>7.68</c:v>
                </c:pt>
                <c:pt idx="93">
                  <c:v>7.61</c:v>
                </c:pt>
                <c:pt idx="94">
                  <c:v>7.73</c:v>
                </c:pt>
                <c:pt idx="95">
                  <c:v>7.73</c:v>
                </c:pt>
                <c:pt idx="96">
                  <c:v>7.83</c:v>
                </c:pt>
                <c:pt idx="97">
                  <c:v>7.78</c:v>
                </c:pt>
                <c:pt idx="98">
                  <c:v>7.75</c:v>
                </c:pt>
                <c:pt idx="99">
                  <c:v>7.92</c:v>
                </c:pt>
                <c:pt idx="100">
                  <c:v>7.91</c:v>
                </c:pt>
                <c:pt idx="101">
                  <c:v>8.01</c:v>
                </c:pt>
                <c:pt idx="102">
                  <c:v>7.77</c:v>
                </c:pt>
                <c:pt idx="103">
                  <c:v>7.46</c:v>
                </c:pt>
                <c:pt idx="104">
                  <c:v>7.44</c:v>
                </c:pt>
                <c:pt idx="105">
                  <c:v>7.46</c:v>
                </c:pt>
                <c:pt idx="106">
                  <c:v>7.66</c:v>
                </c:pt>
                <c:pt idx="107">
                  <c:v>7.66</c:v>
                </c:pt>
                <c:pt idx="108">
                  <c:v>7.55</c:v>
                </c:pt>
                <c:pt idx="109">
                  <c:v>7.8</c:v>
                </c:pt>
                <c:pt idx="110">
                  <c:v>7.66</c:v>
                </c:pt>
                <c:pt idx="111">
                  <c:v>7.9</c:v>
                </c:pt>
                <c:pt idx="112">
                  <c:v>8.08</c:v>
                </c:pt>
                <c:pt idx="113">
                  <c:v>8.14</c:v>
                </c:pt>
                <c:pt idx="114">
                  <c:v>8.06</c:v>
                </c:pt>
                <c:pt idx="115">
                  <c:v>8</c:v>
                </c:pt>
                <c:pt idx="116">
                  <c:v>7.82</c:v>
                </c:pt>
                <c:pt idx="117">
                  <c:v>7.74</c:v>
                </c:pt>
                <c:pt idx="118">
                  <c:v>7.79</c:v>
                </c:pt>
                <c:pt idx="119">
                  <c:v>7.73</c:v>
                </c:pt>
                <c:pt idx="120">
                  <c:v>7.78</c:v>
                </c:pt>
                <c:pt idx="121">
                  <c:v>8.02</c:v>
                </c:pt>
                <c:pt idx="122">
                  <c:v>8.0399999999999991</c:v>
                </c:pt>
                <c:pt idx="123">
                  <c:v>7.94</c:v>
                </c:pt>
                <c:pt idx="124">
                  <c:v>7.97</c:v>
                </c:pt>
                <c:pt idx="125">
                  <c:v>8.02</c:v>
                </c:pt>
                <c:pt idx="126">
                  <c:v>8.14</c:v>
                </c:pt>
                <c:pt idx="127">
                  <c:v>8.39</c:v>
                </c:pt>
                <c:pt idx="128">
                  <c:v>8.31</c:v>
                </c:pt>
                <c:pt idx="129">
                  <c:v>8.58</c:v>
                </c:pt>
                <c:pt idx="130">
                  <c:v>8.1</c:v>
                </c:pt>
                <c:pt idx="131">
                  <c:v>8.18</c:v>
                </c:pt>
                <c:pt idx="132">
                  <c:v>8.25</c:v>
                </c:pt>
                <c:pt idx="133">
                  <c:v>8.44</c:v>
                </c:pt>
                <c:pt idx="134">
                  <c:v>8.3800000000000008</c:v>
                </c:pt>
                <c:pt idx="135">
                  <c:v>8.43</c:v>
                </c:pt>
                <c:pt idx="136">
                  <c:v>8.4</c:v>
                </c:pt>
                <c:pt idx="137">
                  <c:v>8.11</c:v>
                </c:pt>
                <c:pt idx="138">
                  <c:v>8.0299999999999994</c:v>
                </c:pt>
                <c:pt idx="139">
                  <c:v>7.8</c:v>
                </c:pt>
                <c:pt idx="140">
                  <c:v>7.76</c:v>
                </c:pt>
                <c:pt idx="141">
                  <c:v>7.72</c:v>
                </c:pt>
                <c:pt idx="142">
                  <c:v>7.91</c:v>
                </c:pt>
                <c:pt idx="143">
                  <c:v>8.1</c:v>
                </c:pt>
                <c:pt idx="144">
                  <c:v>8.27</c:v>
                </c:pt>
                <c:pt idx="145">
                  <c:v>8.1</c:v>
                </c:pt>
                <c:pt idx="146">
                  <c:v>8.4</c:v>
                </c:pt>
                <c:pt idx="147">
                  <c:v>8.39</c:v>
                </c:pt>
                <c:pt idx="148">
                  <c:v>8.4499999999999993</c:v>
                </c:pt>
                <c:pt idx="149">
                  <c:v>8.4</c:v>
                </c:pt>
                <c:pt idx="150">
                  <c:v>8.52</c:v>
                </c:pt>
                <c:pt idx="151">
                  <c:v>8.17</c:v>
                </c:pt>
                <c:pt idx="152">
                  <c:v>8.11</c:v>
                </c:pt>
                <c:pt idx="153">
                  <c:v>8.09</c:v>
                </c:pt>
                <c:pt idx="154">
                  <c:v>8.3000000000000007</c:v>
                </c:pt>
                <c:pt idx="155">
                  <c:v>8.4700000000000006</c:v>
                </c:pt>
                <c:pt idx="156">
                  <c:v>8.19</c:v>
                </c:pt>
                <c:pt idx="157">
                  <c:v>8.19</c:v>
                </c:pt>
                <c:pt idx="158">
                  <c:v>8.16</c:v>
                </c:pt>
                <c:pt idx="159">
                  <c:v>8.16</c:v>
                </c:pt>
                <c:pt idx="160">
                  <c:v>8.3000000000000007</c:v>
                </c:pt>
                <c:pt idx="161">
                  <c:v>8.4</c:v>
                </c:pt>
                <c:pt idx="162">
                  <c:v>8.43</c:v>
                </c:pt>
                <c:pt idx="163">
                  <c:v>8.48</c:v>
                </c:pt>
                <c:pt idx="164">
                  <c:v>9.3000000000000007</c:v>
                </c:pt>
                <c:pt idx="165">
                  <c:v>9.17</c:v>
                </c:pt>
                <c:pt idx="166">
                  <c:v>8.85</c:v>
                </c:pt>
                <c:pt idx="167">
                  <c:v>8.69</c:v>
                </c:pt>
                <c:pt idx="168">
                  <c:v>8.86</c:v>
                </c:pt>
                <c:pt idx="169">
                  <c:v>8.94</c:v>
                </c:pt>
                <c:pt idx="170">
                  <c:v>8.6999999999999993</c:v>
                </c:pt>
                <c:pt idx="171">
                  <c:v>8.4499999999999993</c:v>
                </c:pt>
                <c:pt idx="172">
                  <c:v>8.36</c:v>
                </c:pt>
                <c:pt idx="173">
                  <c:v>8.4</c:v>
                </c:pt>
                <c:pt idx="174">
                  <c:v>8.14</c:v>
                </c:pt>
                <c:pt idx="175">
                  <c:v>7.93</c:v>
                </c:pt>
                <c:pt idx="176">
                  <c:v>8.02</c:v>
                </c:pt>
                <c:pt idx="177">
                  <c:v>7.55</c:v>
                </c:pt>
                <c:pt idx="178">
                  <c:v>7.42</c:v>
                </c:pt>
                <c:pt idx="179">
                  <c:v>7.4</c:v>
                </c:pt>
                <c:pt idx="180">
                  <c:v>7.4</c:v>
                </c:pt>
                <c:pt idx="181">
                  <c:v>7.65</c:v>
                </c:pt>
                <c:pt idx="182">
                  <c:v>7.9</c:v>
                </c:pt>
                <c:pt idx="183">
                  <c:v>7.49</c:v>
                </c:pt>
                <c:pt idx="184">
                  <c:v>7.5</c:v>
                </c:pt>
                <c:pt idx="185">
                  <c:v>7.53</c:v>
                </c:pt>
                <c:pt idx="186">
                  <c:v>7.59</c:v>
                </c:pt>
                <c:pt idx="187">
                  <c:v>7.95</c:v>
                </c:pt>
                <c:pt idx="188">
                  <c:v>8.0399999999999991</c:v>
                </c:pt>
                <c:pt idx="189">
                  <c:v>8</c:v>
                </c:pt>
                <c:pt idx="190">
                  <c:v>8.1199999999999992</c:v>
                </c:pt>
                <c:pt idx="191">
                  <c:v>7.72</c:v>
                </c:pt>
                <c:pt idx="192">
                  <c:v>7.46</c:v>
                </c:pt>
                <c:pt idx="193">
                  <c:v>7.4</c:v>
                </c:pt>
                <c:pt idx="194">
                  <c:v>7.53</c:v>
                </c:pt>
                <c:pt idx="195">
                  <c:v>7.2</c:v>
                </c:pt>
                <c:pt idx="196">
                  <c:v>6.95</c:v>
                </c:pt>
                <c:pt idx="197">
                  <c:v>6.91</c:v>
                </c:pt>
                <c:pt idx="198">
                  <c:v>6.86</c:v>
                </c:pt>
                <c:pt idx="199">
                  <c:v>7.45</c:v>
                </c:pt>
                <c:pt idx="200">
                  <c:v>7.2</c:v>
                </c:pt>
                <c:pt idx="201">
                  <c:v>7.34</c:v>
                </c:pt>
                <c:pt idx="202">
                  <c:v>7.46</c:v>
                </c:pt>
                <c:pt idx="203">
                  <c:v>7.5</c:v>
                </c:pt>
                <c:pt idx="204">
                  <c:v>7.45</c:v>
                </c:pt>
                <c:pt idx="205">
                  <c:v>7.34</c:v>
                </c:pt>
                <c:pt idx="206">
                  <c:v>7.76</c:v>
                </c:pt>
                <c:pt idx="207">
                  <c:v>7.65</c:v>
                </c:pt>
                <c:pt idx="208">
                  <c:v>7.65</c:v>
                </c:pt>
                <c:pt idx="209">
                  <c:v>7.87</c:v>
                </c:pt>
                <c:pt idx="210">
                  <c:v>7.74</c:v>
                </c:pt>
                <c:pt idx="211">
                  <c:v>7.65</c:v>
                </c:pt>
                <c:pt idx="212">
                  <c:v>7.81</c:v>
                </c:pt>
                <c:pt idx="213">
                  <c:v>7.67</c:v>
                </c:pt>
                <c:pt idx="214">
                  <c:v>7.79</c:v>
                </c:pt>
                <c:pt idx="215">
                  <c:v>7.86</c:v>
                </c:pt>
                <c:pt idx="216">
                  <c:v>7.9</c:v>
                </c:pt>
                <c:pt idx="217">
                  <c:v>7.94</c:v>
                </c:pt>
                <c:pt idx="218">
                  <c:v>8.17</c:v>
                </c:pt>
                <c:pt idx="219">
                  <c:v>8.64</c:v>
                </c:pt>
                <c:pt idx="220">
                  <c:v>8.2899999999999991</c:v>
                </c:pt>
                <c:pt idx="221">
                  <c:v>8.4</c:v>
                </c:pt>
                <c:pt idx="222">
                  <c:v>8.35</c:v>
                </c:pt>
                <c:pt idx="223">
                  <c:v>8.16</c:v>
                </c:pt>
                <c:pt idx="224">
                  <c:v>8.18</c:v>
                </c:pt>
                <c:pt idx="225">
                  <c:v>7.71</c:v>
                </c:pt>
                <c:pt idx="226">
                  <c:v>7.61</c:v>
                </c:pt>
                <c:pt idx="227">
                  <c:v>7.65</c:v>
                </c:pt>
                <c:pt idx="228">
                  <c:v>7.42</c:v>
                </c:pt>
                <c:pt idx="229">
                  <c:v>7.28</c:v>
                </c:pt>
                <c:pt idx="230">
                  <c:v>7.49</c:v>
                </c:pt>
                <c:pt idx="231">
                  <c:v>7.51</c:v>
                </c:pt>
                <c:pt idx="232">
                  <c:v>7.77</c:v>
                </c:pt>
                <c:pt idx="233">
                  <c:v>7.58</c:v>
                </c:pt>
                <c:pt idx="234">
                  <c:v>7.6</c:v>
                </c:pt>
                <c:pt idx="235">
                  <c:v>7.88</c:v>
                </c:pt>
                <c:pt idx="236">
                  <c:v>7.85</c:v>
                </c:pt>
                <c:pt idx="237">
                  <c:v>7.85</c:v>
                </c:pt>
                <c:pt idx="238">
                  <c:v>7.84</c:v>
                </c:pt>
                <c:pt idx="239">
                  <c:v>7.76</c:v>
                </c:pt>
                <c:pt idx="240">
                  <c:v>7.58</c:v>
                </c:pt>
                <c:pt idx="241">
                  <c:v>7.4</c:v>
                </c:pt>
                <c:pt idx="242">
                  <c:v>7.46</c:v>
                </c:pt>
                <c:pt idx="243">
                  <c:v>7.78</c:v>
                </c:pt>
                <c:pt idx="244">
                  <c:v>7.59</c:v>
                </c:pt>
                <c:pt idx="245">
                  <c:v>7.43</c:v>
                </c:pt>
                <c:pt idx="246">
                  <c:v>7.38</c:v>
                </c:pt>
                <c:pt idx="247">
                  <c:v>7.36</c:v>
                </c:pt>
                <c:pt idx="248">
                  <c:v>7.27</c:v>
                </c:pt>
                <c:pt idx="249">
                  <c:v>7.35</c:v>
                </c:pt>
                <c:pt idx="250">
                  <c:v>7.44</c:v>
                </c:pt>
                <c:pt idx="251">
                  <c:v>7.61</c:v>
                </c:pt>
                <c:pt idx="252">
                  <c:v>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5-4579-9277-6F5754264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389224"/>
        <c:axId val="568387784"/>
      </c:lineChart>
      <c:dateAx>
        <c:axId val="568389224"/>
        <c:scaling>
          <c:orientation val="minMax"/>
          <c:max val="4586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87784"/>
        <c:crosses val="autoZero"/>
        <c:auto val="1"/>
        <c:lblOffset val="100"/>
        <c:baseTimeUnit val="days"/>
      </c:dateAx>
      <c:valAx>
        <c:axId val="568387784"/>
        <c:scaling>
          <c:orientation val="minMax"/>
          <c:min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</a:t>
                </a:r>
                <a:r>
                  <a:rPr lang="en-US" baseline="0"/>
                  <a:t> Price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8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51834591128086"/>
          <c:y val="0.11447646354159612"/>
          <c:w val="0.13331936559204718"/>
          <c:h val="0.11294244869899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Single Trade (Buy→Sell)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85168921192543"/>
          <c:y val="0.16274567363890385"/>
          <c:w val="0.75540211319738881"/>
          <c:h val="0.63862558465498453"/>
        </c:manualLayout>
      </c:layout>
      <c:barChart>
        <c:barDir val="col"/>
        <c:grouping val="clustered"/>
        <c:varyColors val="0"/>
        <c:ser>
          <c:idx val="0"/>
          <c:order val="0"/>
          <c:tx>
            <c:v>Value ($)</c:v>
          </c:tx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[1]SingleTrade!$E$2:$E$3</c:f>
              <c:strCache>
                <c:ptCount val="2"/>
                <c:pt idx="0">
                  <c:v>2024-07-03</c:v>
                </c:pt>
                <c:pt idx="1">
                  <c:v>2025-02-20</c:v>
                </c:pt>
              </c:strCache>
            </c:strRef>
          </c:cat>
          <c:val>
            <c:numRef>
              <c:f>[1]SingleTrade!$F$2:$F$3</c:f>
              <c:numCache>
                <c:formatCode>General</c:formatCode>
                <c:ptCount val="2"/>
                <c:pt idx="0">
                  <c:v>995.67</c:v>
                </c:pt>
                <c:pt idx="1">
                  <c:v>1925.1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8-4A7A-9801-3E34E129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383504"/>
        <c:axId val="679382424"/>
      </c:barChart>
      <c:lineChart>
        <c:grouping val="standard"/>
        <c:varyColors val="0"/>
        <c:ser>
          <c:idx val="1"/>
          <c:order val="1"/>
          <c:tx>
            <c:v>Return Index</c:v>
          </c:tx>
          <c:marker>
            <c:symbol val="none"/>
          </c:marker>
          <c:cat>
            <c:strRef>
              <c:f>[1]SingleTrade!$E$2:$E$3</c:f>
              <c:strCache>
                <c:ptCount val="2"/>
                <c:pt idx="0">
                  <c:v>2024-07-03</c:v>
                </c:pt>
                <c:pt idx="1">
                  <c:v>2025-02-20</c:v>
                </c:pt>
              </c:strCache>
            </c:strRef>
          </c:cat>
          <c:val>
            <c:numRef>
              <c:f>[1]SingleTrade!$G$2:$G$3</c:f>
              <c:numCache>
                <c:formatCode>General</c:formatCode>
                <c:ptCount val="2"/>
                <c:pt idx="0">
                  <c:v>1</c:v>
                </c:pt>
                <c:pt idx="1">
                  <c:v>1.9334719334999999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28-4A7A-9801-3E34E129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679382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679383504"/>
        <c:crosses val="max"/>
        <c:crossBetween val="between"/>
      </c:valAx>
      <c:catAx>
        <c:axId val="679383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938242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Multiple</a:t>
            </a:r>
            <a:r>
              <a:rPr lang="en-US" baseline="0"/>
              <a:t> Trade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945450416733252E-2"/>
          <c:y val="0.12307060620150298"/>
          <c:w val="0.78389089885455865"/>
          <c:h val="0.62193930849836276"/>
        </c:manualLayout>
      </c:layout>
      <c:lineChart>
        <c:grouping val="standard"/>
        <c:varyColors val="0"/>
        <c:ser>
          <c:idx val="0"/>
          <c:order val="0"/>
          <c:tx>
            <c:v>Close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'Multiple Trade'!$A:$A</c:f>
              <c:strCache>
                <c:ptCount val="254"/>
                <c:pt idx="0">
                  <c:v>Date</c:v>
                </c:pt>
                <c:pt idx="1">
                  <c:v>7/1/2024</c:v>
                </c:pt>
                <c:pt idx="2">
                  <c:v>7/2/2024</c:v>
                </c:pt>
                <c:pt idx="3">
                  <c:v>7/3/2024</c:v>
                </c:pt>
                <c:pt idx="4">
                  <c:v>7/4/2024</c:v>
                </c:pt>
                <c:pt idx="5">
                  <c:v>7/5/2024</c:v>
                </c:pt>
                <c:pt idx="6">
                  <c:v>7/8/2024</c:v>
                </c:pt>
                <c:pt idx="7">
                  <c:v>7/9/2024</c:v>
                </c:pt>
                <c:pt idx="8">
                  <c:v>7/10/2024</c:v>
                </c:pt>
                <c:pt idx="9">
                  <c:v>7/11/2024</c:v>
                </c:pt>
                <c:pt idx="10">
                  <c:v>7/12/2024</c:v>
                </c:pt>
                <c:pt idx="11">
                  <c:v>7/15/2024</c:v>
                </c:pt>
                <c:pt idx="12">
                  <c:v>7/16/2024</c:v>
                </c:pt>
                <c:pt idx="13">
                  <c:v>7/17/2024</c:v>
                </c:pt>
                <c:pt idx="14">
                  <c:v>7/18/2024</c:v>
                </c:pt>
                <c:pt idx="15">
                  <c:v>7/19/2024</c:v>
                </c:pt>
                <c:pt idx="16">
                  <c:v>7/22/2024</c:v>
                </c:pt>
                <c:pt idx="17">
                  <c:v>7/23/2024</c:v>
                </c:pt>
                <c:pt idx="18">
                  <c:v>7/24/2024</c:v>
                </c:pt>
                <c:pt idx="19">
                  <c:v>7/25/2024</c:v>
                </c:pt>
                <c:pt idx="20">
                  <c:v>7/26/2024</c:v>
                </c:pt>
                <c:pt idx="21">
                  <c:v>7/29/2024</c:v>
                </c:pt>
                <c:pt idx="22">
                  <c:v>7/30/2024</c:v>
                </c:pt>
                <c:pt idx="23">
                  <c:v>7/31/2024</c:v>
                </c:pt>
                <c:pt idx="24">
                  <c:v>8/1/2024</c:v>
                </c:pt>
                <c:pt idx="25">
                  <c:v>8/2/2024</c:v>
                </c:pt>
                <c:pt idx="26">
                  <c:v>8/5/2024</c:v>
                </c:pt>
                <c:pt idx="27">
                  <c:v>8/6/2024</c:v>
                </c:pt>
                <c:pt idx="28">
                  <c:v>8/7/2024</c:v>
                </c:pt>
                <c:pt idx="29">
                  <c:v>8/8/2024</c:v>
                </c:pt>
                <c:pt idx="30">
                  <c:v>8/9/2024</c:v>
                </c:pt>
                <c:pt idx="31">
                  <c:v>8/12/2024</c:v>
                </c:pt>
                <c:pt idx="32">
                  <c:v>8/13/2024</c:v>
                </c:pt>
                <c:pt idx="33">
                  <c:v>8/14/2024</c:v>
                </c:pt>
                <c:pt idx="34">
                  <c:v>8/15/2024</c:v>
                </c:pt>
                <c:pt idx="35">
                  <c:v>8/16/2024</c:v>
                </c:pt>
                <c:pt idx="36">
                  <c:v>8/19/2024</c:v>
                </c:pt>
                <c:pt idx="37">
                  <c:v>8/20/2024</c:v>
                </c:pt>
                <c:pt idx="38">
                  <c:v>8/21/2024</c:v>
                </c:pt>
                <c:pt idx="39">
                  <c:v>8/22/2024</c:v>
                </c:pt>
                <c:pt idx="40">
                  <c:v>8/23/2024</c:v>
                </c:pt>
                <c:pt idx="41">
                  <c:v>8/26/2024</c:v>
                </c:pt>
                <c:pt idx="42">
                  <c:v>8/27/2024</c:v>
                </c:pt>
                <c:pt idx="43">
                  <c:v>8/28/2024</c:v>
                </c:pt>
                <c:pt idx="44">
                  <c:v>8/29/2024</c:v>
                </c:pt>
                <c:pt idx="45">
                  <c:v>8/30/2024</c:v>
                </c:pt>
                <c:pt idx="46">
                  <c:v>9/2/2024</c:v>
                </c:pt>
                <c:pt idx="47">
                  <c:v>9/3/2024</c:v>
                </c:pt>
                <c:pt idx="48">
                  <c:v>9/4/2024</c:v>
                </c:pt>
                <c:pt idx="49">
                  <c:v>9/5/2024</c:v>
                </c:pt>
                <c:pt idx="50">
                  <c:v>9/6/2024</c:v>
                </c:pt>
                <c:pt idx="51">
                  <c:v>9/9/2024</c:v>
                </c:pt>
                <c:pt idx="52">
                  <c:v>9/10/2024</c:v>
                </c:pt>
                <c:pt idx="53">
                  <c:v>9/11/2024</c:v>
                </c:pt>
                <c:pt idx="54">
                  <c:v>9/12/2024</c:v>
                </c:pt>
                <c:pt idx="55">
                  <c:v>9/13/2024</c:v>
                </c:pt>
                <c:pt idx="56">
                  <c:v>9/16/2024</c:v>
                </c:pt>
                <c:pt idx="57">
                  <c:v>9/17/2024</c:v>
                </c:pt>
                <c:pt idx="58">
                  <c:v>9/18/2024</c:v>
                </c:pt>
                <c:pt idx="59">
                  <c:v>9/19/2024</c:v>
                </c:pt>
                <c:pt idx="60">
                  <c:v>9/20/2024</c:v>
                </c:pt>
                <c:pt idx="61">
                  <c:v>9/23/2024</c:v>
                </c:pt>
                <c:pt idx="62">
                  <c:v>9/24/2024</c:v>
                </c:pt>
                <c:pt idx="63">
                  <c:v>9/25/2024</c:v>
                </c:pt>
                <c:pt idx="64">
                  <c:v>9/26/2024</c:v>
                </c:pt>
                <c:pt idx="65">
                  <c:v>9/27/2024</c:v>
                </c:pt>
                <c:pt idx="66">
                  <c:v>9/30/2024</c:v>
                </c:pt>
                <c:pt idx="67">
                  <c:v>10/1/2024</c:v>
                </c:pt>
                <c:pt idx="68">
                  <c:v>10/2/2024</c:v>
                </c:pt>
                <c:pt idx="69">
                  <c:v>10/3/2024</c:v>
                </c:pt>
                <c:pt idx="70">
                  <c:v>10/4/2024</c:v>
                </c:pt>
                <c:pt idx="71">
                  <c:v>10/7/2024</c:v>
                </c:pt>
                <c:pt idx="72">
                  <c:v>10/8/2024</c:v>
                </c:pt>
                <c:pt idx="73">
                  <c:v>10/9/2024</c:v>
                </c:pt>
                <c:pt idx="74">
                  <c:v>10/10/2024</c:v>
                </c:pt>
                <c:pt idx="75">
                  <c:v>10/11/2024</c:v>
                </c:pt>
                <c:pt idx="76">
                  <c:v>10/14/2024</c:v>
                </c:pt>
                <c:pt idx="77">
                  <c:v>10/15/2024</c:v>
                </c:pt>
                <c:pt idx="78">
                  <c:v>10/16/2024</c:v>
                </c:pt>
                <c:pt idx="79">
                  <c:v>10/17/2024</c:v>
                </c:pt>
                <c:pt idx="80">
                  <c:v>10/18/2024</c:v>
                </c:pt>
                <c:pt idx="81">
                  <c:v>10/21/2024</c:v>
                </c:pt>
                <c:pt idx="82">
                  <c:v>10/22/2024</c:v>
                </c:pt>
                <c:pt idx="83">
                  <c:v>10/23/2024</c:v>
                </c:pt>
                <c:pt idx="84">
                  <c:v>10/24/2024</c:v>
                </c:pt>
                <c:pt idx="85">
                  <c:v>10/25/2024</c:v>
                </c:pt>
                <c:pt idx="86">
                  <c:v>10/28/2024</c:v>
                </c:pt>
                <c:pt idx="87">
                  <c:v>10/29/2024</c:v>
                </c:pt>
                <c:pt idx="88">
                  <c:v>10/30/2024</c:v>
                </c:pt>
                <c:pt idx="89">
                  <c:v>10/31/2024</c:v>
                </c:pt>
                <c:pt idx="90">
                  <c:v>11/1/2024</c:v>
                </c:pt>
                <c:pt idx="91">
                  <c:v>11/4/2024</c:v>
                </c:pt>
                <c:pt idx="92">
                  <c:v>11/5/2024</c:v>
                </c:pt>
                <c:pt idx="93">
                  <c:v>11/6/2024</c:v>
                </c:pt>
                <c:pt idx="94">
                  <c:v>11/7/2024</c:v>
                </c:pt>
                <c:pt idx="95">
                  <c:v>11/8/2024</c:v>
                </c:pt>
                <c:pt idx="96">
                  <c:v>11/11/2024</c:v>
                </c:pt>
                <c:pt idx="97">
                  <c:v>11/12/2024</c:v>
                </c:pt>
                <c:pt idx="98">
                  <c:v>11/13/2024</c:v>
                </c:pt>
                <c:pt idx="99">
                  <c:v>11/14/2024</c:v>
                </c:pt>
                <c:pt idx="100">
                  <c:v>11/15/2024</c:v>
                </c:pt>
                <c:pt idx="101">
                  <c:v>11/18/2024</c:v>
                </c:pt>
                <c:pt idx="102">
                  <c:v>11/19/2024</c:v>
                </c:pt>
                <c:pt idx="103">
                  <c:v>11/20/2024</c:v>
                </c:pt>
                <c:pt idx="104">
                  <c:v>11/21/2024</c:v>
                </c:pt>
                <c:pt idx="105">
                  <c:v>11/22/2024</c:v>
                </c:pt>
                <c:pt idx="106">
                  <c:v>11/25/2024</c:v>
                </c:pt>
                <c:pt idx="107">
                  <c:v>11/26/2024</c:v>
                </c:pt>
                <c:pt idx="108">
                  <c:v>11/27/2024</c:v>
                </c:pt>
                <c:pt idx="109">
                  <c:v>11/28/2024</c:v>
                </c:pt>
                <c:pt idx="110">
                  <c:v>11/29/2024</c:v>
                </c:pt>
                <c:pt idx="111">
                  <c:v>12/2/2024</c:v>
                </c:pt>
                <c:pt idx="112">
                  <c:v>12/3/2024</c:v>
                </c:pt>
                <c:pt idx="113">
                  <c:v>12/4/2024</c:v>
                </c:pt>
                <c:pt idx="114">
                  <c:v>12/5/2024</c:v>
                </c:pt>
                <c:pt idx="115">
                  <c:v>12/6/2024</c:v>
                </c:pt>
                <c:pt idx="116">
                  <c:v>12/9/2024</c:v>
                </c:pt>
                <c:pt idx="117">
                  <c:v>12/10/2024</c:v>
                </c:pt>
                <c:pt idx="118">
                  <c:v>12/11/2024</c:v>
                </c:pt>
                <c:pt idx="119">
                  <c:v>12/12/2024</c:v>
                </c:pt>
                <c:pt idx="120">
                  <c:v>12/13/2024</c:v>
                </c:pt>
                <c:pt idx="121">
                  <c:v>12/16/2024</c:v>
                </c:pt>
                <c:pt idx="122">
                  <c:v>12/17/2024</c:v>
                </c:pt>
                <c:pt idx="123">
                  <c:v>12/18/2024</c:v>
                </c:pt>
                <c:pt idx="124">
                  <c:v>12/19/2024</c:v>
                </c:pt>
                <c:pt idx="125">
                  <c:v>12/20/2024</c:v>
                </c:pt>
                <c:pt idx="126">
                  <c:v>12/23/2024</c:v>
                </c:pt>
                <c:pt idx="127">
                  <c:v>12/24/2024</c:v>
                </c:pt>
                <c:pt idx="128">
                  <c:v>12/27/2024</c:v>
                </c:pt>
                <c:pt idx="129">
                  <c:v>12/30/2024</c:v>
                </c:pt>
                <c:pt idx="130">
                  <c:v>12/31/2024</c:v>
                </c:pt>
                <c:pt idx="131">
                  <c:v>1/2/2025</c:v>
                </c:pt>
                <c:pt idx="132">
                  <c:v>1/3/2025</c:v>
                </c:pt>
                <c:pt idx="133">
                  <c:v>1/6/2025</c:v>
                </c:pt>
                <c:pt idx="134">
                  <c:v>1/7/2025</c:v>
                </c:pt>
                <c:pt idx="135">
                  <c:v>1/8/2025</c:v>
                </c:pt>
                <c:pt idx="136">
                  <c:v>1/9/2025</c:v>
                </c:pt>
                <c:pt idx="137">
                  <c:v>1/10/2025</c:v>
                </c:pt>
                <c:pt idx="138">
                  <c:v>1/13/2025</c:v>
                </c:pt>
                <c:pt idx="139">
                  <c:v>1/14/2025</c:v>
                </c:pt>
                <c:pt idx="140">
                  <c:v>1/15/2025</c:v>
                </c:pt>
                <c:pt idx="141">
                  <c:v>1/16/2025</c:v>
                </c:pt>
                <c:pt idx="142">
                  <c:v>1/17/2025</c:v>
                </c:pt>
                <c:pt idx="143">
                  <c:v>1/20/2025</c:v>
                </c:pt>
                <c:pt idx="144">
                  <c:v>1/21/2025</c:v>
                </c:pt>
                <c:pt idx="145">
                  <c:v>1/22/2025</c:v>
                </c:pt>
                <c:pt idx="146">
                  <c:v>1/23/2025</c:v>
                </c:pt>
                <c:pt idx="147">
                  <c:v>1/24/2025</c:v>
                </c:pt>
                <c:pt idx="148">
                  <c:v>1/28/2025</c:v>
                </c:pt>
                <c:pt idx="149">
                  <c:v>1/29/2025</c:v>
                </c:pt>
                <c:pt idx="150">
                  <c:v>1/30/2025</c:v>
                </c:pt>
                <c:pt idx="151">
                  <c:v>1/31/2025</c:v>
                </c:pt>
                <c:pt idx="152">
                  <c:v>2/3/2025</c:v>
                </c:pt>
                <c:pt idx="153">
                  <c:v>2/4/2025</c:v>
                </c:pt>
                <c:pt idx="154">
                  <c:v>2/5/2025</c:v>
                </c:pt>
                <c:pt idx="155">
                  <c:v>2/6/2025</c:v>
                </c:pt>
                <c:pt idx="156">
                  <c:v>2/7/2025</c:v>
                </c:pt>
                <c:pt idx="157">
                  <c:v>2/10/2025</c:v>
                </c:pt>
                <c:pt idx="158">
                  <c:v>2/11/2025</c:v>
                </c:pt>
                <c:pt idx="159">
                  <c:v>2/12/2025</c:v>
                </c:pt>
                <c:pt idx="160">
                  <c:v>2/13/2025</c:v>
                </c:pt>
                <c:pt idx="161">
                  <c:v>2/14/2025</c:v>
                </c:pt>
                <c:pt idx="162">
                  <c:v>2/17/2025</c:v>
                </c:pt>
                <c:pt idx="163">
                  <c:v>2/18/2025</c:v>
                </c:pt>
                <c:pt idx="164">
                  <c:v>2/19/2025</c:v>
                </c:pt>
                <c:pt idx="165">
                  <c:v>2/20/2025</c:v>
                </c:pt>
                <c:pt idx="166">
                  <c:v>2/21/2025</c:v>
                </c:pt>
                <c:pt idx="167">
                  <c:v>2/24/2025</c:v>
                </c:pt>
                <c:pt idx="168">
                  <c:v>2/25/2025</c:v>
                </c:pt>
                <c:pt idx="169">
                  <c:v>2/26/2025</c:v>
                </c:pt>
                <c:pt idx="170">
                  <c:v>2/27/2025</c:v>
                </c:pt>
                <c:pt idx="171">
                  <c:v>2/28/2025</c:v>
                </c:pt>
                <c:pt idx="172">
                  <c:v>3/3/2025</c:v>
                </c:pt>
                <c:pt idx="173">
                  <c:v>3/4/2025</c:v>
                </c:pt>
                <c:pt idx="174">
                  <c:v>3/5/2025</c:v>
                </c:pt>
                <c:pt idx="175">
                  <c:v>3/6/2025</c:v>
                </c:pt>
                <c:pt idx="176">
                  <c:v>3/7/2025</c:v>
                </c:pt>
                <c:pt idx="177">
                  <c:v>3/10/2025</c:v>
                </c:pt>
                <c:pt idx="178">
                  <c:v>3/11/2025</c:v>
                </c:pt>
                <c:pt idx="179">
                  <c:v>3/12/2025</c:v>
                </c:pt>
                <c:pt idx="180">
                  <c:v>3/13/2025</c:v>
                </c:pt>
                <c:pt idx="181">
                  <c:v>3/14/2025</c:v>
                </c:pt>
                <c:pt idx="182">
                  <c:v>3/17/2025</c:v>
                </c:pt>
                <c:pt idx="183">
                  <c:v>3/18/2025</c:v>
                </c:pt>
                <c:pt idx="184">
                  <c:v>3/19/2025</c:v>
                </c:pt>
                <c:pt idx="185">
                  <c:v>3/20/2025</c:v>
                </c:pt>
                <c:pt idx="186">
                  <c:v>3/21/2025</c:v>
                </c:pt>
                <c:pt idx="187">
                  <c:v>3/24/2025</c:v>
                </c:pt>
                <c:pt idx="188">
                  <c:v>3/25/2025</c:v>
                </c:pt>
                <c:pt idx="189">
                  <c:v>3/26/2025</c:v>
                </c:pt>
                <c:pt idx="190">
                  <c:v>3/27/2025</c:v>
                </c:pt>
                <c:pt idx="191">
                  <c:v>3/28/2025</c:v>
                </c:pt>
                <c:pt idx="192">
                  <c:v>3/31/2025</c:v>
                </c:pt>
                <c:pt idx="193">
                  <c:v>4/1/2025</c:v>
                </c:pt>
                <c:pt idx="194">
                  <c:v>4/2/2025</c:v>
                </c:pt>
                <c:pt idx="195">
                  <c:v>4/3/2025</c:v>
                </c:pt>
                <c:pt idx="196">
                  <c:v>4/4/2025</c:v>
                </c:pt>
                <c:pt idx="197">
                  <c:v>4/7/2025</c:v>
                </c:pt>
                <c:pt idx="198">
                  <c:v>4/8/2025</c:v>
                </c:pt>
                <c:pt idx="199">
                  <c:v>4/9/2025</c:v>
                </c:pt>
                <c:pt idx="200">
                  <c:v>4/10/2025</c:v>
                </c:pt>
                <c:pt idx="201">
                  <c:v>4/11/2025</c:v>
                </c:pt>
                <c:pt idx="202">
                  <c:v>4/14/2025</c:v>
                </c:pt>
                <c:pt idx="203">
                  <c:v>4/15/2025</c:v>
                </c:pt>
                <c:pt idx="204">
                  <c:v>4/16/2025</c:v>
                </c:pt>
                <c:pt idx="205">
                  <c:v>4/17/2025</c:v>
                </c:pt>
                <c:pt idx="206">
                  <c:v>4/22/2025</c:v>
                </c:pt>
                <c:pt idx="207">
                  <c:v>4/23/2025</c:v>
                </c:pt>
                <c:pt idx="208">
                  <c:v>4/24/2025</c:v>
                </c:pt>
                <c:pt idx="209">
                  <c:v>4/28/2025</c:v>
                </c:pt>
                <c:pt idx="210">
                  <c:v>4/29/2025</c:v>
                </c:pt>
                <c:pt idx="211">
                  <c:v>4/30/2025</c:v>
                </c:pt>
                <c:pt idx="212">
                  <c:v>5/1/2025</c:v>
                </c:pt>
                <c:pt idx="213">
                  <c:v>5/2/2025</c:v>
                </c:pt>
                <c:pt idx="214">
                  <c:v>5/5/2025</c:v>
                </c:pt>
                <c:pt idx="215">
                  <c:v>5/6/2025</c:v>
                </c:pt>
                <c:pt idx="216">
                  <c:v>5/7/2025</c:v>
                </c:pt>
                <c:pt idx="217">
                  <c:v>5/8/2025</c:v>
                </c:pt>
                <c:pt idx="218">
                  <c:v>5/9/2025</c:v>
                </c:pt>
                <c:pt idx="219">
                  <c:v>5/12/2025</c:v>
                </c:pt>
                <c:pt idx="220">
                  <c:v>5/13/2025</c:v>
                </c:pt>
                <c:pt idx="221">
                  <c:v>5/14/2025</c:v>
                </c:pt>
                <c:pt idx="222">
                  <c:v>5/15/2025</c:v>
                </c:pt>
                <c:pt idx="223">
                  <c:v>5/16/2025</c:v>
                </c:pt>
                <c:pt idx="224">
                  <c:v>5/19/2025</c:v>
                </c:pt>
                <c:pt idx="225">
                  <c:v>5/20/2025</c:v>
                </c:pt>
                <c:pt idx="226">
                  <c:v>5/21/2025</c:v>
                </c:pt>
                <c:pt idx="227">
                  <c:v>5/22/2025</c:v>
                </c:pt>
                <c:pt idx="228">
                  <c:v>5/23/2025</c:v>
                </c:pt>
                <c:pt idx="229">
                  <c:v>5/26/2025</c:v>
                </c:pt>
                <c:pt idx="230">
                  <c:v>5/27/2025</c:v>
                </c:pt>
                <c:pt idx="231">
                  <c:v>5/28/2025</c:v>
                </c:pt>
                <c:pt idx="232">
                  <c:v>5/29/2025</c:v>
                </c:pt>
                <c:pt idx="233">
                  <c:v>5/30/2025</c:v>
                </c:pt>
                <c:pt idx="234">
                  <c:v>6/2/2025</c:v>
                </c:pt>
                <c:pt idx="235">
                  <c:v>6/3/2025</c:v>
                </c:pt>
                <c:pt idx="236">
                  <c:v>6/4/2025</c:v>
                </c:pt>
                <c:pt idx="237">
                  <c:v>6/5/2025</c:v>
                </c:pt>
                <c:pt idx="238">
                  <c:v>6/6/2025</c:v>
                </c:pt>
                <c:pt idx="239">
                  <c:v>6/10/2025</c:v>
                </c:pt>
                <c:pt idx="240">
                  <c:v>6/11/2025</c:v>
                </c:pt>
                <c:pt idx="241">
                  <c:v>6/12/2025</c:v>
                </c:pt>
                <c:pt idx="242">
                  <c:v>6/13/2025</c:v>
                </c:pt>
                <c:pt idx="243">
                  <c:v>6/16/2025</c:v>
                </c:pt>
                <c:pt idx="244">
                  <c:v>6/17/2025</c:v>
                </c:pt>
                <c:pt idx="245">
                  <c:v>6/18/2025</c:v>
                </c:pt>
                <c:pt idx="246">
                  <c:v>6/19/2025</c:v>
                </c:pt>
                <c:pt idx="247">
                  <c:v>6/20/2025</c:v>
                </c:pt>
                <c:pt idx="248">
                  <c:v>6/23/2025</c:v>
                </c:pt>
                <c:pt idx="249">
                  <c:v>6/24/2025</c:v>
                </c:pt>
                <c:pt idx="250">
                  <c:v>6/25/2025</c:v>
                </c:pt>
                <c:pt idx="251">
                  <c:v>6/26/2025</c:v>
                </c:pt>
                <c:pt idx="252">
                  <c:v>6/27/2025</c:v>
                </c:pt>
                <c:pt idx="253">
                  <c:v>6/30/2025</c:v>
                </c:pt>
              </c:strCache>
            </c:strRef>
          </c:cat>
          <c:val>
            <c:numLit>
              <c:formatCode>General</c:formatCode>
              <c:ptCount val="253"/>
              <c:pt idx="0">
                <c:v>4.95</c:v>
              </c:pt>
              <c:pt idx="1">
                <c:v>4.96</c:v>
              </c:pt>
              <c:pt idx="2">
                <c:v>4.8099999999999996</c:v>
              </c:pt>
              <c:pt idx="3">
                <c:v>4.84</c:v>
              </c:pt>
              <c:pt idx="4">
                <c:v>4.82</c:v>
              </c:pt>
              <c:pt idx="5">
                <c:v>4.8099999999999996</c:v>
              </c:pt>
              <c:pt idx="6">
                <c:v>4.91</c:v>
              </c:pt>
              <c:pt idx="7">
                <c:v>4.91</c:v>
              </c:pt>
              <c:pt idx="8">
                <c:v>5</c:v>
              </c:pt>
              <c:pt idx="9">
                <c:v>5.08</c:v>
              </c:pt>
              <c:pt idx="10">
                <c:v>4.95</c:v>
              </c:pt>
              <c:pt idx="11">
                <c:v>5.19</c:v>
              </c:pt>
              <c:pt idx="12">
                <c:v>5.38</c:v>
              </c:pt>
              <c:pt idx="13">
                <c:v>5.46</c:v>
              </c:pt>
              <c:pt idx="14">
                <c:v>5.75</c:v>
              </c:pt>
              <c:pt idx="15">
                <c:v>5.77</c:v>
              </c:pt>
              <c:pt idx="16">
                <c:v>5.88</c:v>
              </c:pt>
              <c:pt idx="17">
                <c:v>5.9</c:v>
              </c:pt>
              <c:pt idx="18">
                <c:v>5.75</c:v>
              </c:pt>
              <c:pt idx="19">
                <c:v>5.65</c:v>
              </c:pt>
              <c:pt idx="20">
                <c:v>5.8</c:v>
              </c:pt>
              <c:pt idx="21">
                <c:v>5.75</c:v>
              </c:pt>
              <c:pt idx="22">
                <c:v>5.82</c:v>
              </c:pt>
              <c:pt idx="23">
                <c:v>6.03</c:v>
              </c:pt>
              <c:pt idx="24">
                <c:v>5.99</c:v>
              </c:pt>
              <c:pt idx="25">
                <c:v>5.65</c:v>
              </c:pt>
              <c:pt idx="26">
                <c:v>5.85</c:v>
              </c:pt>
              <c:pt idx="27">
                <c:v>5.94</c:v>
              </c:pt>
              <c:pt idx="28">
                <c:v>5.82</c:v>
              </c:pt>
              <c:pt idx="29">
                <c:v>5.89</c:v>
              </c:pt>
              <c:pt idx="30">
                <c:v>6.01</c:v>
              </c:pt>
              <c:pt idx="31">
                <c:v>6.15</c:v>
              </c:pt>
              <c:pt idx="32">
                <c:v>6.09</c:v>
              </c:pt>
              <c:pt idx="33">
                <c:v>6.1</c:v>
              </c:pt>
              <c:pt idx="34">
                <c:v>6.1</c:v>
              </c:pt>
              <c:pt idx="35">
                <c:v>6.07</c:v>
              </c:pt>
              <c:pt idx="36">
                <c:v>6.42</c:v>
              </c:pt>
              <c:pt idx="37">
                <c:v>6.34</c:v>
              </c:pt>
              <c:pt idx="38">
                <c:v>7.05</c:v>
              </c:pt>
              <c:pt idx="39">
                <c:v>6.88</c:v>
              </c:pt>
              <c:pt idx="40">
                <c:v>7</c:v>
              </c:pt>
              <c:pt idx="41">
                <c:v>7</c:v>
              </c:pt>
              <c:pt idx="42">
                <c:v>6.99</c:v>
              </c:pt>
              <c:pt idx="43">
                <c:v>6.88</c:v>
              </c:pt>
              <c:pt idx="44">
                <c:v>6.94</c:v>
              </c:pt>
              <c:pt idx="45">
                <c:v>7</c:v>
              </c:pt>
              <c:pt idx="46">
                <c:v>6.98</c:v>
              </c:pt>
              <c:pt idx="47">
                <c:v>6.82</c:v>
              </c:pt>
              <c:pt idx="48">
                <c:v>6.78</c:v>
              </c:pt>
              <c:pt idx="49">
                <c:v>6.85</c:v>
              </c:pt>
              <c:pt idx="50">
                <c:v>6.72</c:v>
              </c:pt>
              <c:pt idx="51">
                <c:v>6.65</c:v>
              </c:pt>
              <c:pt idx="52">
                <c:v>6.66</c:v>
              </c:pt>
              <c:pt idx="53">
                <c:v>6.7</c:v>
              </c:pt>
              <c:pt idx="54">
                <c:v>6.67</c:v>
              </c:pt>
              <c:pt idx="55">
                <c:v>6.7</c:v>
              </c:pt>
              <c:pt idx="56">
                <c:v>6.7</c:v>
              </c:pt>
              <c:pt idx="57">
                <c:v>6.75</c:v>
              </c:pt>
              <c:pt idx="58">
                <c:v>6.76</c:v>
              </c:pt>
              <c:pt idx="59">
                <c:v>6.91</c:v>
              </c:pt>
              <c:pt idx="60">
                <c:v>7.04</c:v>
              </c:pt>
              <c:pt idx="61">
                <c:v>7.08</c:v>
              </c:pt>
              <c:pt idx="62">
                <c:v>7.09</c:v>
              </c:pt>
              <c:pt idx="63">
                <c:v>7.3</c:v>
              </c:pt>
              <c:pt idx="64">
                <c:v>7.31</c:v>
              </c:pt>
              <c:pt idx="65">
                <c:v>7.5</c:v>
              </c:pt>
              <c:pt idx="66">
                <c:v>7.64</c:v>
              </c:pt>
              <c:pt idx="67">
                <c:v>7.7</c:v>
              </c:pt>
              <c:pt idx="68">
                <c:v>7.75</c:v>
              </c:pt>
              <c:pt idx="69">
                <c:v>7.6</c:v>
              </c:pt>
              <c:pt idx="70">
                <c:v>7.7</c:v>
              </c:pt>
              <c:pt idx="71">
                <c:v>7.65</c:v>
              </c:pt>
              <c:pt idx="72">
                <c:v>7.75</c:v>
              </c:pt>
              <c:pt idx="73">
                <c:v>7.7</c:v>
              </c:pt>
              <c:pt idx="74">
                <c:v>7.71</c:v>
              </c:pt>
              <c:pt idx="75">
                <c:v>7.62</c:v>
              </c:pt>
              <c:pt idx="76">
                <c:v>8.0299999999999994</c:v>
              </c:pt>
              <c:pt idx="77">
                <c:v>8.1199999999999992</c:v>
              </c:pt>
              <c:pt idx="78">
                <c:v>8.09</c:v>
              </c:pt>
              <c:pt idx="79">
                <c:v>8.16</c:v>
              </c:pt>
              <c:pt idx="80">
                <c:v>8.25</c:v>
              </c:pt>
              <c:pt idx="81">
                <c:v>8.25</c:v>
              </c:pt>
              <c:pt idx="82">
                <c:v>8.2100000000000009</c:v>
              </c:pt>
              <c:pt idx="83">
                <c:v>7.96</c:v>
              </c:pt>
              <c:pt idx="84">
                <c:v>7.98</c:v>
              </c:pt>
              <c:pt idx="85">
                <c:v>8.19</c:v>
              </c:pt>
              <c:pt idx="86">
                <c:v>8.33</c:v>
              </c:pt>
              <c:pt idx="87">
                <c:v>7.99</c:v>
              </c:pt>
              <c:pt idx="88">
                <c:v>7.88</c:v>
              </c:pt>
              <c:pt idx="89">
                <c:v>7.8</c:v>
              </c:pt>
              <c:pt idx="90">
                <c:v>7.65</c:v>
              </c:pt>
              <c:pt idx="91">
                <c:v>7.64</c:v>
              </c:pt>
              <c:pt idx="92">
                <c:v>7.68</c:v>
              </c:pt>
              <c:pt idx="93">
                <c:v>7.61</c:v>
              </c:pt>
              <c:pt idx="94">
                <c:v>7.73</c:v>
              </c:pt>
              <c:pt idx="95">
                <c:v>7.73</c:v>
              </c:pt>
              <c:pt idx="96">
                <c:v>7.83</c:v>
              </c:pt>
              <c:pt idx="97">
                <c:v>7.78</c:v>
              </c:pt>
              <c:pt idx="98">
                <c:v>7.75</c:v>
              </c:pt>
              <c:pt idx="99">
                <c:v>7.92</c:v>
              </c:pt>
              <c:pt idx="100">
                <c:v>7.91</c:v>
              </c:pt>
              <c:pt idx="101">
                <c:v>8.01</c:v>
              </c:pt>
              <c:pt idx="102">
                <c:v>7.77</c:v>
              </c:pt>
              <c:pt idx="103">
                <c:v>7.46</c:v>
              </c:pt>
              <c:pt idx="104">
                <c:v>7.44</c:v>
              </c:pt>
              <c:pt idx="105">
                <c:v>7.46</c:v>
              </c:pt>
              <c:pt idx="106">
                <c:v>7.66</c:v>
              </c:pt>
              <c:pt idx="107">
                <c:v>7.66</c:v>
              </c:pt>
              <c:pt idx="108">
                <c:v>7.55</c:v>
              </c:pt>
              <c:pt idx="109">
                <c:v>7.8</c:v>
              </c:pt>
              <c:pt idx="110">
                <c:v>7.66</c:v>
              </c:pt>
              <c:pt idx="111">
                <c:v>7.9</c:v>
              </c:pt>
              <c:pt idx="112">
                <c:v>8.08</c:v>
              </c:pt>
              <c:pt idx="113">
                <c:v>8.14</c:v>
              </c:pt>
              <c:pt idx="114">
                <c:v>8.06</c:v>
              </c:pt>
              <c:pt idx="115">
                <c:v>8</c:v>
              </c:pt>
              <c:pt idx="116">
                <c:v>7.82</c:v>
              </c:pt>
              <c:pt idx="117">
                <c:v>7.74</c:v>
              </c:pt>
              <c:pt idx="118">
                <c:v>7.79</c:v>
              </c:pt>
              <c:pt idx="119">
                <c:v>7.73</c:v>
              </c:pt>
              <c:pt idx="120">
                <c:v>7.78</c:v>
              </c:pt>
              <c:pt idx="121">
                <c:v>8.02</c:v>
              </c:pt>
              <c:pt idx="122">
                <c:v>8.0399999999999991</c:v>
              </c:pt>
              <c:pt idx="123">
                <c:v>7.94</c:v>
              </c:pt>
              <c:pt idx="124">
                <c:v>7.97</c:v>
              </c:pt>
              <c:pt idx="125">
                <c:v>8.02</c:v>
              </c:pt>
              <c:pt idx="126">
                <c:v>8.14</c:v>
              </c:pt>
              <c:pt idx="127">
                <c:v>8.39</c:v>
              </c:pt>
              <c:pt idx="128">
                <c:v>8.31</c:v>
              </c:pt>
              <c:pt idx="129">
                <c:v>8.58</c:v>
              </c:pt>
              <c:pt idx="130">
                <c:v>8.1</c:v>
              </c:pt>
              <c:pt idx="131">
                <c:v>8.18</c:v>
              </c:pt>
              <c:pt idx="132">
                <c:v>8.25</c:v>
              </c:pt>
              <c:pt idx="133">
                <c:v>8.44</c:v>
              </c:pt>
              <c:pt idx="134">
                <c:v>8.3800000000000008</c:v>
              </c:pt>
              <c:pt idx="135">
                <c:v>8.43</c:v>
              </c:pt>
              <c:pt idx="136">
                <c:v>8.4</c:v>
              </c:pt>
              <c:pt idx="137">
                <c:v>8.11</c:v>
              </c:pt>
              <c:pt idx="138">
                <c:v>8.0299999999999994</c:v>
              </c:pt>
              <c:pt idx="139">
                <c:v>7.8</c:v>
              </c:pt>
              <c:pt idx="140">
                <c:v>7.76</c:v>
              </c:pt>
              <c:pt idx="141">
                <c:v>7.72</c:v>
              </c:pt>
              <c:pt idx="142">
                <c:v>7.91</c:v>
              </c:pt>
              <c:pt idx="143">
                <c:v>8.1</c:v>
              </c:pt>
              <c:pt idx="144">
                <c:v>8.27</c:v>
              </c:pt>
              <c:pt idx="145">
                <c:v>8.1</c:v>
              </c:pt>
              <c:pt idx="146">
                <c:v>8.4</c:v>
              </c:pt>
              <c:pt idx="147">
                <c:v>8.39</c:v>
              </c:pt>
              <c:pt idx="148">
                <c:v>8.4499999999999993</c:v>
              </c:pt>
              <c:pt idx="149">
                <c:v>8.4</c:v>
              </c:pt>
              <c:pt idx="150">
                <c:v>8.52</c:v>
              </c:pt>
              <c:pt idx="151">
                <c:v>8.17</c:v>
              </c:pt>
              <c:pt idx="152">
                <c:v>8.11</c:v>
              </c:pt>
              <c:pt idx="153">
                <c:v>8.09</c:v>
              </c:pt>
              <c:pt idx="154">
                <c:v>8.3000000000000007</c:v>
              </c:pt>
              <c:pt idx="155">
                <c:v>8.4700000000000006</c:v>
              </c:pt>
              <c:pt idx="156">
                <c:v>8.19</c:v>
              </c:pt>
              <c:pt idx="157">
                <c:v>8.19</c:v>
              </c:pt>
              <c:pt idx="158">
                <c:v>8.16</c:v>
              </c:pt>
              <c:pt idx="159">
                <c:v>8.16</c:v>
              </c:pt>
              <c:pt idx="160">
                <c:v>8.3000000000000007</c:v>
              </c:pt>
              <c:pt idx="161">
                <c:v>8.4</c:v>
              </c:pt>
              <c:pt idx="162">
                <c:v>8.43</c:v>
              </c:pt>
              <c:pt idx="163">
                <c:v>8.48</c:v>
              </c:pt>
              <c:pt idx="164">
                <c:v>9.3000000000000007</c:v>
              </c:pt>
              <c:pt idx="165">
                <c:v>9.17</c:v>
              </c:pt>
              <c:pt idx="166">
                <c:v>8.85</c:v>
              </c:pt>
              <c:pt idx="167">
                <c:v>8.69</c:v>
              </c:pt>
              <c:pt idx="168">
                <c:v>8.86</c:v>
              </c:pt>
              <c:pt idx="169">
                <c:v>8.94</c:v>
              </c:pt>
              <c:pt idx="170">
                <c:v>8.6999999999999993</c:v>
              </c:pt>
              <c:pt idx="171">
                <c:v>8.4499999999999993</c:v>
              </c:pt>
              <c:pt idx="172">
                <c:v>8.36</c:v>
              </c:pt>
              <c:pt idx="173">
                <c:v>8.4</c:v>
              </c:pt>
              <c:pt idx="174">
                <c:v>8.14</c:v>
              </c:pt>
              <c:pt idx="175">
                <c:v>7.93</c:v>
              </c:pt>
              <c:pt idx="176">
                <c:v>8.02</c:v>
              </c:pt>
              <c:pt idx="177">
                <c:v>7.55</c:v>
              </c:pt>
              <c:pt idx="178">
                <c:v>7.42</c:v>
              </c:pt>
              <c:pt idx="179">
                <c:v>7.4</c:v>
              </c:pt>
              <c:pt idx="180">
                <c:v>7.4</c:v>
              </c:pt>
              <c:pt idx="181">
                <c:v>7.65</c:v>
              </c:pt>
              <c:pt idx="182">
                <c:v>7.9</c:v>
              </c:pt>
              <c:pt idx="183">
                <c:v>7.49</c:v>
              </c:pt>
              <c:pt idx="184">
                <c:v>7.5</c:v>
              </c:pt>
              <c:pt idx="185">
                <c:v>7.53</c:v>
              </c:pt>
              <c:pt idx="186">
                <c:v>7.59</c:v>
              </c:pt>
              <c:pt idx="187">
                <c:v>7.95</c:v>
              </c:pt>
              <c:pt idx="188">
                <c:v>8.0399999999999991</c:v>
              </c:pt>
              <c:pt idx="189">
                <c:v>8</c:v>
              </c:pt>
              <c:pt idx="190">
                <c:v>8.1199999999999992</c:v>
              </c:pt>
              <c:pt idx="191">
                <c:v>7.72</c:v>
              </c:pt>
              <c:pt idx="192">
                <c:v>7.46</c:v>
              </c:pt>
              <c:pt idx="193">
                <c:v>7.4</c:v>
              </c:pt>
              <c:pt idx="194">
                <c:v>7.53</c:v>
              </c:pt>
              <c:pt idx="195">
                <c:v>7.2</c:v>
              </c:pt>
              <c:pt idx="196">
                <c:v>6.95</c:v>
              </c:pt>
              <c:pt idx="197">
                <c:v>6.91</c:v>
              </c:pt>
              <c:pt idx="198">
                <c:v>6.86</c:v>
              </c:pt>
              <c:pt idx="199">
                <c:v>7.45</c:v>
              </c:pt>
              <c:pt idx="200">
                <c:v>7.2</c:v>
              </c:pt>
              <c:pt idx="201">
                <c:v>7.34</c:v>
              </c:pt>
              <c:pt idx="202">
                <c:v>7.46</c:v>
              </c:pt>
              <c:pt idx="203">
                <c:v>7.5</c:v>
              </c:pt>
              <c:pt idx="204">
                <c:v>7.45</c:v>
              </c:pt>
              <c:pt idx="205">
                <c:v>7.34</c:v>
              </c:pt>
              <c:pt idx="206">
                <c:v>7.76</c:v>
              </c:pt>
              <c:pt idx="207">
                <c:v>7.65</c:v>
              </c:pt>
              <c:pt idx="208">
                <c:v>7.65</c:v>
              </c:pt>
              <c:pt idx="209">
                <c:v>7.87</c:v>
              </c:pt>
              <c:pt idx="210">
                <c:v>7.74</c:v>
              </c:pt>
              <c:pt idx="211">
                <c:v>7.65</c:v>
              </c:pt>
              <c:pt idx="212">
                <c:v>7.81</c:v>
              </c:pt>
              <c:pt idx="213">
                <c:v>7.67</c:v>
              </c:pt>
              <c:pt idx="214">
                <c:v>7.79</c:v>
              </c:pt>
              <c:pt idx="215">
                <c:v>7.86</c:v>
              </c:pt>
              <c:pt idx="216">
                <c:v>7.9</c:v>
              </c:pt>
              <c:pt idx="217">
                <c:v>7.94</c:v>
              </c:pt>
              <c:pt idx="218">
                <c:v>8.17</c:v>
              </c:pt>
              <c:pt idx="219">
                <c:v>8.64</c:v>
              </c:pt>
              <c:pt idx="220">
                <c:v>8.2899999999999991</c:v>
              </c:pt>
              <c:pt idx="221">
                <c:v>8.4</c:v>
              </c:pt>
              <c:pt idx="222">
                <c:v>8.35</c:v>
              </c:pt>
              <c:pt idx="223">
                <c:v>8.16</c:v>
              </c:pt>
              <c:pt idx="224">
                <c:v>8.18</c:v>
              </c:pt>
              <c:pt idx="225">
                <c:v>7.71</c:v>
              </c:pt>
              <c:pt idx="226">
                <c:v>7.61</c:v>
              </c:pt>
              <c:pt idx="227">
                <c:v>7.65</c:v>
              </c:pt>
              <c:pt idx="228">
                <c:v>7.42</c:v>
              </c:pt>
              <c:pt idx="229">
                <c:v>7.28</c:v>
              </c:pt>
              <c:pt idx="230">
                <c:v>7.49</c:v>
              </c:pt>
              <c:pt idx="231">
                <c:v>7.51</c:v>
              </c:pt>
              <c:pt idx="232">
                <c:v>7.77</c:v>
              </c:pt>
              <c:pt idx="233">
                <c:v>7.58</c:v>
              </c:pt>
              <c:pt idx="234">
                <c:v>7.6</c:v>
              </c:pt>
              <c:pt idx="235">
                <c:v>7.88</c:v>
              </c:pt>
              <c:pt idx="236">
                <c:v>7.85</c:v>
              </c:pt>
              <c:pt idx="237">
                <c:v>7.85</c:v>
              </c:pt>
              <c:pt idx="238">
                <c:v>7.84</c:v>
              </c:pt>
              <c:pt idx="239">
                <c:v>7.76</c:v>
              </c:pt>
              <c:pt idx="240">
                <c:v>7.58</c:v>
              </c:pt>
              <c:pt idx="241">
                <c:v>7.4</c:v>
              </c:pt>
              <c:pt idx="242">
                <c:v>7.46</c:v>
              </c:pt>
              <c:pt idx="243">
                <c:v>7.78</c:v>
              </c:pt>
              <c:pt idx="244">
                <c:v>7.59</c:v>
              </c:pt>
              <c:pt idx="245">
                <c:v>7.43</c:v>
              </c:pt>
              <c:pt idx="246">
                <c:v>7.38</c:v>
              </c:pt>
              <c:pt idx="247">
                <c:v>7.36</c:v>
              </c:pt>
              <c:pt idx="248">
                <c:v>7.27</c:v>
              </c:pt>
              <c:pt idx="249">
                <c:v>7.35</c:v>
              </c:pt>
              <c:pt idx="250">
                <c:v>7.44</c:v>
              </c:pt>
              <c:pt idx="251">
                <c:v>7.61</c:v>
              </c:pt>
              <c:pt idx="252">
                <c:v>7.78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7DD-4712-9E8F-639E01AAA607}"/>
            </c:ext>
          </c:extLst>
        </c:ser>
        <c:ser>
          <c:idx val="1"/>
          <c:order val="1"/>
          <c:tx>
            <c:v>Buy Marker</c:v>
          </c:tx>
          <c:spPr>
            <a:ln>
              <a:prstDash val="solid"/>
            </a:ln>
          </c:spPr>
          <c:marker>
            <c:symbol val="triangle"/>
            <c:size val="8"/>
            <c:spPr>
              <a:ln>
                <a:prstDash val="solid"/>
              </a:ln>
            </c:spPr>
          </c:marker>
          <c:dLbls>
            <c:dLbl>
              <c:idx val="37"/>
              <c:layout>
                <c:manualLayout>
                  <c:x val="0"/>
                  <c:y val="9.2939693481963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BC-474D-BB51-586DB5A38149}"/>
                </c:ext>
              </c:extLst>
            </c:dLbl>
            <c:dLbl>
              <c:idx val="54"/>
              <c:layout>
                <c:manualLayout>
                  <c:x val="1.7278338825627054E-2"/>
                  <c:y val="7.9662594413111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BC-474D-BB51-586DB5A38149}"/>
                </c:ext>
              </c:extLst>
            </c:dLbl>
            <c:dLbl>
              <c:idx val="110"/>
              <c:layout>
                <c:manualLayout>
                  <c:x val="0"/>
                  <c:y val="9.9578243016389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BC-474D-BB51-586DB5A38149}"/>
                </c:ext>
              </c:extLst>
            </c:dLbl>
            <c:dLbl>
              <c:idx val="123"/>
              <c:layout>
                <c:manualLayout>
                  <c:x val="2.7734926510252729E-2"/>
                  <c:y val="0.10104153097859725"/>
                </c:manualLayout>
              </c:layout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156187253185698E-2"/>
                      <c:h val="7.48089299138662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6BC-474D-BB51-586DB5A38149}"/>
                </c:ext>
              </c:extLst>
            </c:dLbl>
            <c:dLbl>
              <c:idx val="159"/>
              <c:layout>
                <c:manualLayout>
                  <c:x val="-5.8567604712940835E-3"/>
                  <c:y val="9.4696946160187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BC-474D-BB51-586DB5A38149}"/>
                </c:ext>
              </c:extLst>
            </c:dLbl>
            <c:dLbl>
              <c:idx val="213"/>
              <c:layout>
                <c:manualLayout>
                  <c:x val="5.856760471293976E-3"/>
                  <c:y val="0.107323205648212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BC-474D-BB51-586DB5A38149}"/>
                </c:ext>
              </c:extLst>
            </c:dLbl>
            <c:dLbl>
              <c:idx val="229"/>
              <c:layout>
                <c:manualLayout>
                  <c:x val="1.4641901178234834E-2"/>
                  <c:y val="0.15151511385630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BC-474D-BB51-586DB5A38149}"/>
                </c:ext>
              </c:extLst>
            </c:dLbl>
            <c:dLbl>
              <c:idx val="248"/>
              <c:layout>
                <c:manualLayout>
                  <c:x val="4.2461513416881223E-2"/>
                  <c:y val="-6.31312974401253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BC-474D-BB51-586DB5A38149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'Multiple Trade'!$A:$A</c:f>
              <c:strCache>
                <c:ptCount val="254"/>
                <c:pt idx="0">
                  <c:v>Date</c:v>
                </c:pt>
                <c:pt idx="1">
                  <c:v>7/1/2024</c:v>
                </c:pt>
                <c:pt idx="2">
                  <c:v>7/2/2024</c:v>
                </c:pt>
                <c:pt idx="3">
                  <c:v>7/3/2024</c:v>
                </c:pt>
                <c:pt idx="4">
                  <c:v>7/4/2024</c:v>
                </c:pt>
                <c:pt idx="5">
                  <c:v>7/5/2024</c:v>
                </c:pt>
                <c:pt idx="6">
                  <c:v>7/8/2024</c:v>
                </c:pt>
                <c:pt idx="7">
                  <c:v>7/9/2024</c:v>
                </c:pt>
                <c:pt idx="8">
                  <c:v>7/10/2024</c:v>
                </c:pt>
                <c:pt idx="9">
                  <c:v>7/11/2024</c:v>
                </c:pt>
                <c:pt idx="10">
                  <c:v>7/12/2024</c:v>
                </c:pt>
                <c:pt idx="11">
                  <c:v>7/15/2024</c:v>
                </c:pt>
                <c:pt idx="12">
                  <c:v>7/16/2024</c:v>
                </c:pt>
                <c:pt idx="13">
                  <c:v>7/17/2024</c:v>
                </c:pt>
                <c:pt idx="14">
                  <c:v>7/18/2024</c:v>
                </c:pt>
                <c:pt idx="15">
                  <c:v>7/19/2024</c:v>
                </c:pt>
                <c:pt idx="16">
                  <c:v>7/22/2024</c:v>
                </c:pt>
                <c:pt idx="17">
                  <c:v>7/23/2024</c:v>
                </c:pt>
                <c:pt idx="18">
                  <c:v>7/24/2024</c:v>
                </c:pt>
                <c:pt idx="19">
                  <c:v>7/25/2024</c:v>
                </c:pt>
                <c:pt idx="20">
                  <c:v>7/26/2024</c:v>
                </c:pt>
                <c:pt idx="21">
                  <c:v>7/29/2024</c:v>
                </c:pt>
                <c:pt idx="22">
                  <c:v>7/30/2024</c:v>
                </c:pt>
                <c:pt idx="23">
                  <c:v>7/31/2024</c:v>
                </c:pt>
                <c:pt idx="24">
                  <c:v>8/1/2024</c:v>
                </c:pt>
                <c:pt idx="25">
                  <c:v>8/2/2024</c:v>
                </c:pt>
                <c:pt idx="26">
                  <c:v>8/5/2024</c:v>
                </c:pt>
                <c:pt idx="27">
                  <c:v>8/6/2024</c:v>
                </c:pt>
                <c:pt idx="28">
                  <c:v>8/7/2024</c:v>
                </c:pt>
                <c:pt idx="29">
                  <c:v>8/8/2024</c:v>
                </c:pt>
                <c:pt idx="30">
                  <c:v>8/9/2024</c:v>
                </c:pt>
                <c:pt idx="31">
                  <c:v>8/12/2024</c:v>
                </c:pt>
                <c:pt idx="32">
                  <c:v>8/13/2024</c:v>
                </c:pt>
                <c:pt idx="33">
                  <c:v>8/14/2024</c:v>
                </c:pt>
                <c:pt idx="34">
                  <c:v>8/15/2024</c:v>
                </c:pt>
                <c:pt idx="35">
                  <c:v>8/16/2024</c:v>
                </c:pt>
                <c:pt idx="36">
                  <c:v>8/19/2024</c:v>
                </c:pt>
                <c:pt idx="37">
                  <c:v>8/20/2024</c:v>
                </c:pt>
                <c:pt idx="38">
                  <c:v>8/21/2024</c:v>
                </c:pt>
                <c:pt idx="39">
                  <c:v>8/22/2024</c:v>
                </c:pt>
                <c:pt idx="40">
                  <c:v>8/23/2024</c:v>
                </c:pt>
                <c:pt idx="41">
                  <c:v>8/26/2024</c:v>
                </c:pt>
                <c:pt idx="42">
                  <c:v>8/27/2024</c:v>
                </c:pt>
                <c:pt idx="43">
                  <c:v>8/28/2024</c:v>
                </c:pt>
                <c:pt idx="44">
                  <c:v>8/29/2024</c:v>
                </c:pt>
                <c:pt idx="45">
                  <c:v>8/30/2024</c:v>
                </c:pt>
                <c:pt idx="46">
                  <c:v>9/2/2024</c:v>
                </c:pt>
                <c:pt idx="47">
                  <c:v>9/3/2024</c:v>
                </c:pt>
                <c:pt idx="48">
                  <c:v>9/4/2024</c:v>
                </c:pt>
                <c:pt idx="49">
                  <c:v>9/5/2024</c:v>
                </c:pt>
                <c:pt idx="50">
                  <c:v>9/6/2024</c:v>
                </c:pt>
                <c:pt idx="51">
                  <c:v>9/9/2024</c:v>
                </c:pt>
                <c:pt idx="52">
                  <c:v>9/10/2024</c:v>
                </c:pt>
                <c:pt idx="53">
                  <c:v>9/11/2024</c:v>
                </c:pt>
                <c:pt idx="54">
                  <c:v>9/12/2024</c:v>
                </c:pt>
                <c:pt idx="55">
                  <c:v>9/13/2024</c:v>
                </c:pt>
                <c:pt idx="56">
                  <c:v>9/16/2024</c:v>
                </c:pt>
                <c:pt idx="57">
                  <c:v>9/17/2024</c:v>
                </c:pt>
                <c:pt idx="58">
                  <c:v>9/18/2024</c:v>
                </c:pt>
                <c:pt idx="59">
                  <c:v>9/19/2024</c:v>
                </c:pt>
                <c:pt idx="60">
                  <c:v>9/20/2024</c:v>
                </c:pt>
                <c:pt idx="61">
                  <c:v>9/23/2024</c:v>
                </c:pt>
                <c:pt idx="62">
                  <c:v>9/24/2024</c:v>
                </c:pt>
                <c:pt idx="63">
                  <c:v>9/25/2024</c:v>
                </c:pt>
                <c:pt idx="64">
                  <c:v>9/26/2024</c:v>
                </c:pt>
                <c:pt idx="65">
                  <c:v>9/27/2024</c:v>
                </c:pt>
                <c:pt idx="66">
                  <c:v>9/30/2024</c:v>
                </c:pt>
                <c:pt idx="67">
                  <c:v>10/1/2024</c:v>
                </c:pt>
                <c:pt idx="68">
                  <c:v>10/2/2024</c:v>
                </c:pt>
                <c:pt idx="69">
                  <c:v>10/3/2024</c:v>
                </c:pt>
                <c:pt idx="70">
                  <c:v>10/4/2024</c:v>
                </c:pt>
                <c:pt idx="71">
                  <c:v>10/7/2024</c:v>
                </c:pt>
                <c:pt idx="72">
                  <c:v>10/8/2024</c:v>
                </c:pt>
                <c:pt idx="73">
                  <c:v>10/9/2024</c:v>
                </c:pt>
                <c:pt idx="74">
                  <c:v>10/10/2024</c:v>
                </c:pt>
                <c:pt idx="75">
                  <c:v>10/11/2024</c:v>
                </c:pt>
                <c:pt idx="76">
                  <c:v>10/14/2024</c:v>
                </c:pt>
                <c:pt idx="77">
                  <c:v>10/15/2024</c:v>
                </c:pt>
                <c:pt idx="78">
                  <c:v>10/16/2024</c:v>
                </c:pt>
                <c:pt idx="79">
                  <c:v>10/17/2024</c:v>
                </c:pt>
                <c:pt idx="80">
                  <c:v>10/18/2024</c:v>
                </c:pt>
                <c:pt idx="81">
                  <c:v>10/21/2024</c:v>
                </c:pt>
                <c:pt idx="82">
                  <c:v>10/22/2024</c:v>
                </c:pt>
                <c:pt idx="83">
                  <c:v>10/23/2024</c:v>
                </c:pt>
                <c:pt idx="84">
                  <c:v>10/24/2024</c:v>
                </c:pt>
                <c:pt idx="85">
                  <c:v>10/25/2024</c:v>
                </c:pt>
                <c:pt idx="86">
                  <c:v>10/28/2024</c:v>
                </c:pt>
                <c:pt idx="87">
                  <c:v>10/29/2024</c:v>
                </c:pt>
                <c:pt idx="88">
                  <c:v>10/30/2024</c:v>
                </c:pt>
                <c:pt idx="89">
                  <c:v>10/31/2024</c:v>
                </c:pt>
                <c:pt idx="90">
                  <c:v>11/1/2024</c:v>
                </c:pt>
                <c:pt idx="91">
                  <c:v>11/4/2024</c:v>
                </c:pt>
                <c:pt idx="92">
                  <c:v>11/5/2024</c:v>
                </c:pt>
                <c:pt idx="93">
                  <c:v>11/6/2024</c:v>
                </c:pt>
                <c:pt idx="94">
                  <c:v>11/7/2024</c:v>
                </c:pt>
                <c:pt idx="95">
                  <c:v>11/8/2024</c:v>
                </c:pt>
                <c:pt idx="96">
                  <c:v>11/11/2024</c:v>
                </c:pt>
                <c:pt idx="97">
                  <c:v>11/12/2024</c:v>
                </c:pt>
                <c:pt idx="98">
                  <c:v>11/13/2024</c:v>
                </c:pt>
                <c:pt idx="99">
                  <c:v>11/14/2024</c:v>
                </c:pt>
                <c:pt idx="100">
                  <c:v>11/15/2024</c:v>
                </c:pt>
                <c:pt idx="101">
                  <c:v>11/18/2024</c:v>
                </c:pt>
                <c:pt idx="102">
                  <c:v>11/19/2024</c:v>
                </c:pt>
                <c:pt idx="103">
                  <c:v>11/20/2024</c:v>
                </c:pt>
                <c:pt idx="104">
                  <c:v>11/21/2024</c:v>
                </c:pt>
                <c:pt idx="105">
                  <c:v>11/22/2024</c:v>
                </c:pt>
                <c:pt idx="106">
                  <c:v>11/25/2024</c:v>
                </c:pt>
                <c:pt idx="107">
                  <c:v>11/26/2024</c:v>
                </c:pt>
                <c:pt idx="108">
                  <c:v>11/27/2024</c:v>
                </c:pt>
                <c:pt idx="109">
                  <c:v>11/28/2024</c:v>
                </c:pt>
                <c:pt idx="110">
                  <c:v>11/29/2024</c:v>
                </c:pt>
                <c:pt idx="111">
                  <c:v>12/2/2024</c:v>
                </c:pt>
                <c:pt idx="112">
                  <c:v>12/3/2024</c:v>
                </c:pt>
                <c:pt idx="113">
                  <c:v>12/4/2024</c:v>
                </c:pt>
                <c:pt idx="114">
                  <c:v>12/5/2024</c:v>
                </c:pt>
                <c:pt idx="115">
                  <c:v>12/6/2024</c:v>
                </c:pt>
                <c:pt idx="116">
                  <c:v>12/9/2024</c:v>
                </c:pt>
                <c:pt idx="117">
                  <c:v>12/10/2024</c:v>
                </c:pt>
                <c:pt idx="118">
                  <c:v>12/11/2024</c:v>
                </c:pt>
                <c:pt idx="119">
                  <c:v>12/12/2024</c:v>
                </c:pt>
                <c:pt idx="120">
                  <c:v>12/13/2024</c:v>
                </c:pt>
                <c:pt idx="121">
                  <c:v>12/16/2024</c:v>
                </c:pt>
                <c:pt idx="122">
                  <c:v>12/17/2024</c:v>
                </c:pt>
                <c:pt idx="123">
                  <c:v>12/18/2024</c:v>
                </c:pt>
                <c:pt idx="124">
                  <c:v>12/19/2024</c:v>
                </c:pt>
                <c:pt idx="125">
                  <c:v>12/20/2024</c:v>
                </c:pt>
                <c:pt idx="126">
                  <c:v>12/23/2024</c:v>
                </c:pt>
                <c:pt idx="127">
                  <c:v>12/24/2024</c:v>
                </c:pt>
                <c:pt idx="128">
                  <c:v>12/27/2024</c:v>
                </c:pt>
                <c:pt idx="129">
                  <c:v>12/30/2024</c:v>
                </c:pt>
                <c:pt idx="130">
                  <c:v>12/31/2024</c:v>
                </c:pt>
                <c:pt idx="131">
                  <c:v>1/2/2025</c:v>
                </c:pt>
                <c:pt idx="132">
                  <c:v>1/3/2025</c:v>
                </c:pt>
                <c:pt idx="133">
                  <c:v>1/6/2025</c:v>
                </c:pt>
                <c:pt idx="134">
                  <c:v>1/7/2025</c:v>
                </c:pt>
                <c:pt idx="135">
                  <c:v>1/8/2025</c:v>
                </c:pt>
                <c:pt idx="136">
                  <c:v>1/9/2025</c:v>
                </c:pt>
                <c:pt idx="137">
                  <c:v>1/10/2025</c:v>
                </c:pt>
                <c:pt idx="138">
                  <c:v>1/13/2025</c:v>
                </c:pt>
                <c:pt idx="139">
                  <c:v>1/14/2025</c:v>
                </c:pt>
                <c:pt idx="140">
                  <c:v>1/15/2025</c:v>
                </c:pt>
                <c:pt idx="141">
                  <c:v>1/16/2025</c:v>
                </c:pt>
                <c:pt idx="142">
                  <c:v>1/17/2025</c:v>
                </c:pt>
                <c:pt idx="143">
                  <c:v>1/20/2025</c:v>
                </c:pt>
                <c:pt idx="144">
                  <c:v>1/21/2025</c:v>
                </c:pt>
                <c:pt idx="145">
                  <c:v>1/22/2025</c:v>
                </c:pt>
                <c:pt idx="146">
                  <c:v>1/23/2025</c:v>
                </c:pt>
                <c:pt idx="147">
                  <c:v>1/24/2025</c:v>
                </c:pt>
                <c:pt idx="148">
                  <c:v>1/28/2025</c:v>
                </c:pt>
                <c:pt idx="149">
                  <c:v>1/29/2025</c:v>
                </c:pt>
                <c:pt idx="150">
                  <c:v>1/30/2025</c:v>
                </c:pt>
                <c:pt idx="151">
                  <c:v>1/31/2025</c:v>
                </c:pt>
                <c:pt idx="152">
                  <c:v>2/3/2025</c:v>
                </c:pt>
                <c:pt idx="153">
                  <c:v>2/4/2025</c:v>
                </c:pt>
                <c:pt idx="154">
                  <c:v>2/5/2025</c:v>
                </c:pt>
                <c:pt idx="155">
                  <c:v>2/6/2025</c:v>
                </c:pt>
                <c:pt idx="156">
                  <c:v>2/7/2025</c:v>
                </c:pt>
                <c:pt idx="157">
                  <c:v>2/10/2025</c:v>
                </c:pt>
                <c:pt idx="158">
                  <c:v>2/11/2025</c:v>
                </c:pt>
                <c:pt idx="159">
                  <c:v>2/12/2025</c:v>
                </c:pt>
                <c:pt idx="160">
                  <c:v>2/13/2025</c:v>
                </c:pt>
                <c:pt idx="161">
                  <c:v>2/14/2025</c:v>
                </c:pt>
                <c:pt idx="162">
                  <c:v>2/17/2025</c:v>
                </c:pt>
                <c:pt idx="163">
                  <c:v>2/18/2025</c:v>
                </c:pt>
                <c:pt idx="164">
                  <c:v>2/19/2025</c:v>
                </c:pt>
                <c:pt idx="165">
                  <c:v>2/20/2025</c:v>
                </c:pt>
                <c:pt idx="166">
                  <c:v>2/21/2025</c:v>
                </c:pt>
                <c:pt idx="167">
                  <c:v>2/24/2025</c:v>
                </c:pt>
                <c:pt idx="168">
                  <c:v>2/25/2025</c:v>
                </c:pt>
                <c:pt idx="169">
                  <c:v>2/26/2025</c:v>
                </c:pt>
                <c:pt idx="170">
                  <c:v>2/27/2025</c:v>
                </c:pt>
                <c:pt idx="171">
                  <c:v>2/28/2025</c:v>
                </c:pt>
                <c:pt idx="172">
                  <c:v>3/3/2025</c:v>
                </c:pt>
                <c:pt idx="173">
                  <c:v>3/4/2025</c:v>
                </c:pt>
                <c:pt idx="174">
                  <c:v>3/5/2025</c:v>
                </c:pt>
                <c:pt idx="175">
                  <c:v>3/6/2025</c:v>
                </c:pt>
                <c:pt idx="176">
                  <c:v>3/7/2025</c:v>
                </c:pt>
                <c:pt idx="177">
                  <c:v>3/10/2025</c:v>
                </c:pt>
                <c:pt idx="178">
                  <c:v>3/11/2025</c:v>
                </c:pt>
                <c:pt idx="179">
                  <c:v>3/12/2025</c:v>
                </c:pt>
                <c:pt idx="180">
                  <c:v>3/13/2025</c:v>
                </c:pt>
                <c:pt idx="181">
                  <c:v>3/14/2025</c:v>
                </c:pt>
                <c:pt idx="182">
                  <c:v>3/17/2025</c:v>
                </c:pt>
                <c:pt idx="183">
                  <c:v>3/18/2025</c:v>
                </c:pt>
                <c:pt idx="184">
                  <c:v>3/19/2025</c:v>
                </c:pt>
                <c:pt idx="185">
                  <c:v>3/20/2025</c:v>
                </c:pt>
                <c:pt idx="186">
                  <c:v>3/21/2025</c:v>
                </c:pt>
                <c:pt idx="187">
                  <c:v>3/24/2025</c:v>
                </c:pt>
                <c:pt idx="188">
                  <c:v>3/25/2025</c:v>
                </c:pt>
                <c:pt idx="189">
                  <c:v>3/26/2025</c:v>
                </c:pt>
                <c:pt idx="190">
                  <c:v>3/27/2025</c:v>
                </c:pt>
                <c:pt idx="191">
                  <c:v>3/28/2025</c:v>
                </c:pt>
                <c:pt idx="192">
                  <c:v>3/31/2025</c:v>
                </c:pt>
                <c:pt idx="193">
                  <c:v>4/1/2025</c:v>
                </c:pt>
                <c:pt idx="194">
                  <c:v>4/2/2025</c:v>
                </c:pt>
                <c:pt idx="195">
                  <c:v>4/3/2025</c:v>
                </c:pt>
                <c:pt idx="196">
                  <c:v>4/4/2025</c:v>
                </c:pt>
                <c:pt idx="197">
                  <c:v>4/7/2025</c:v>
                </c:pt>
                <c:pt idx="198">
                  <c:v>4/8/2025</c:v>
                </c:pt>
                <c:pt idx="199">
                  <c:v>4/9/2025</c:v>
                </c:pt>
                <c:pt idx="200">
                  <c:v>4/10/2025</c:v>
                </c:pt>
                <c:pt idx="201">
                  <c:v>4/11/2025</c:v>
                </c:pt>
                <c:pt idx="202">
                  <c:v>4/14/2025</c:v>
                </c:pt>
                <c:pt idx="203">
                  <c:v>4/15/2025</c:v>
                </c:pt>
                <c:pt idx="204">
                  <c:v>4/16/2025</c:v>
                </c:pt>
                <c:pt idx="205">
                  <c:v>4/17/2025</c:v>
                </c:pt>
                <c:pt idx="206">
                  <c:v>4/22/2025</c:v>
                </c:pt>
                <c:pt idx="207">
                  <c:v>4/23/2025</c:v>
                </c:pt>
                <c:pt idx="208">
                  <c:v>4/24/2025</c:v>
                </c:pt>
                <c:pt idx="209">
                  <c:v>4/28/2025</c:v>
                </c:pt>
                <c:pt idx="210">
                  <c:v>4/29/2025</c:v>
                </c:pt>
                <c:pt idx="211">
                  <c:v>4/30/2025</c:v>
                </c:pt>
                <c:pt idx="212">
                  <c:v>5/1/2025</c:v>
                </c:pt>
                <c:pt idx="213">
                  <c:v>5/2/2025</c:v>
                </c:pt>
                <c:pt idx="214">
                  <c:v>5/5/2025</c:v>
                </c:pt>
                <c:pt idx="215">
                  <c:v>5/6/2025</c:v>
                </c:pt>
                <c:pt idx="216">
                  <c:v>5/7/2025</c:v>
                </c:pt>
                <c:pt idx="217">
                  <c:v>5/8/2025</c:v>
                </c:pt>
                <c:pt idx="218">
                  <c:v>5/9/2025</c:v>
                </c:pt>
                <c:pt idx="219">
                  <c:v>5/12/2025</c:v>
                </c:pt>
                <c:pt idx="220">
                  <c:v>5/13/2025</c:v>
                </c:pt>
                <c:pt idx="221">
                  <c:v>5/14/2025</c:v>
                </c:pt>
                <c:pt idx="222">
                  <c:v>5/15/2025</c:v>
                </c:pt>
                <c:pt idx="223">
                  <c:v>5/16/2025</c:v>
                </c:pt>
                <c:pt idx="224">
                  <c:v>5/19/2025</c:v>
                </c:pt>
                <c:pt idx="225">
                  <c:v>5/20/2025</c:v>
                </c:pt>
                <c:pt idx="226">
                  <c:v>5/21/2025</c:v>
                </c:pt>
                <c:pt idx="227">
                  <c:v>5/22/2025</c:v>
                </c:pt>
                <c:pt idx="228">
                  <c:v>5/23/2025</c:v>
                </c:pt>
                <c:pt idx="229">
                  <c:v>5/26/2025</c:v>
                </c:pt>
                <c:pt idx="230">
                  <c:v>5/27/2025</c:v>
                </c:pt>
                <c:pt idx="231">
                  <c:v>5/28/2025</c:v>
                </c:pt>
                <c:pt idx="232">
                  <c:v>5/29/2025</c:v>
                </c:pt>
                <c:pt idx="233">
                  <c:v>5/30/2025</c:v>
                </c:pt>
                <c:pt idx="234">
                  <c:v>6/2/2025</c:v>
                </c:pt>
                <c:pt idx="235">
                  <c:v>6/3/2025</c:v>
                </c:pt>
                <c:pt idx="236">
                  <c:v>6/4/2025</c:v>
                </c:pt>
                <c:pt idx="237">
                  <c:v>6/5/2025</c:v>
                </c:pt>
                <c:pt idx="238">
                  <c:v>6/6/2025</c:v>
                </c:pt>
                <c:pt idx="239">
                  <c:v>6/10/2025</c:v>
                </c:pt>
                <c:pt idx="240">
                  <c:v>6/11/2025</c:v>
                </c:pt>
                <c:pt idx="241">
                  <c:v>6/12/2025</c:v>
                </c:pt>
                <c:pt idx="242">
                  <c:v>6/13/2025</c:v>
                </c:pt>
                <c:pt idx="243">
                  <c:v>6/16/2025</c:v>
                </c:pt>
                <c:pt idx="244">
                  <c:v>6/17/2025</c:v>
                </c:pt>
                <c:pt idx="245">
                  <c:v>6/18/2025</c:v>
                </c:pt>
                <c:pt idx="246">
                  <c:v>6/19/2025</c:v>
                </c:pt>
                <c:pt idx="247">
                  <c:v>6/20/2025</c:v>
                </c:pt>
                <c:pt idx="248">
                  <c:v>6/23/2025</c:v>
                </c:pt>
                <c:pt idx="249">
                  <c:v>6/24/2025</c:v>
                </c:pt>
                <c:pt idx="250">
                  <c:v>6/25/2025</c:v>
                </c:pt>
                <c:pt idx="251">
                  <c:v>6/26/2025</c:v>
                </c:pt>
                <c:pt idx="252">
                  <c:v>6/27/2025</c:v>
                </c:pt>
                <c:pt idx="253">
                  <c:v>6/30/2025</c:v>
                </c:pt>
              </c:strCache>
            </c:strRef>
          </c:cat>
          <c:val>
            <c:numLit>
              <c:formatCode>General</c:formatCode>
              <c:ptCount val="253"/>
              <c:pt idx="10">
                <c:v>4.95</c:v>
              </c:pt>
              <c:pt idx="37">
                <c:v>6.34</c:v>
              </c:pt>
              <c:pt idx="54">
                <c:v>6.67</c:v>
              </c:pt>
              <c:pt idx="110">
                <c:v>7.66</c:v>
              </c:pt>
              <c:pt idx="123">
                <c:v>7.94</c:v>
              </c:pt>
              <c:pt idx="159">
                <c:v>8.16</c:v>
              </c:pt>
              <c:pt idx="198">
                <c:v>6.86</c:v>
              </c:pt>
              <c:pt idx="213">
                <c:v>7.67</c:v>
              </c:pt>
              <c:pt idx="229">
                <c:v>7.28</c:v>
              </c:pt>
              <c:pt idx="248">
                <c:v>7.27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7DD-4712-9E8F-639E01AAA607}"/>
            </c:ext>
          </c:extLst>
        </c:ser>
        <c:ser>
          <c:idx val="2"/>
          <c:order val="2"/>
          <c:tx>
            <c:v>Sell Marker</c:v>
          </c:tx>
          <c:spPr>
            <a:ln>
              <a:prstDash val="solid"/>
            </a:ln>
          </c:spPr>
          <c:marker>
            <c:symbol val="x"/>
            <c:size val="8"/>
            <c:spPr>
              <a:ln>
                <a:prstDash val="solid"/>
              </a:ln>
            </c:spPr>
          </c:marker>
          <c:dLbls>
            <c:dLbl>
              <c:idx val="17"/>
              <c:layout>
                <c:manualLayout>
                  <c:x val="-5.27108442416458E-2"/>
                  <c:y val="-8.8383816416175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BC-474D-BB51-586DB5A38149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BC-474D-BB51-586DB5A38149}"/>
                </c:ext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BC-474D-BB51-586DB5A38149}"/>
                </c:ext>
              </c:extLst>
            </c:dLbl>
            <c:dLbl>
              <c:idx val="113"/>
              <c:layout>
                <c:manualLayout>
                  <c:x val="-3.2302719723671852E-2"/>
                  <c:y val="-7.8914121800156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6BC-474D-BB51-586DB5A38149}"/>
                </c:ext>
              </c:extLst>
            </c:dLbl>
            <c:dLbl>
              <c:idx val="127"/>
              <c:layout>
                <c:manualLayout>
                  <c:x val="1.3459466551529939E-3"/>
                  <c:y val="-5.3661602824106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BC-474D-BB51-586DB5A38149}"/>
                </c:ext>
              </c:extLst>
            </c:dLbl>
            <c:dLbl>
              <c:idx val="164"/>
              <c:layout>
                <c:manualLayout>
                  <c:x val="2.8264879758212871E-2"/>
                  <c:y val="-5.6818167696112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BC-474D-BB51-586DB5A38149}"/>
                </c:ext>
              </c:extLst>
            </c:dLbl>
            <c:dLbl>
              <c:idx val="199"/>
              <c:layout>
                <c:manualLayout>
                  <c:x val="-2.6918933103059876E-2"/>
                  <c:y val="-0.116792900264231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BC-474D-BB51-586DB5A38149}"/>
                </c:ext>
              </c:extLst>
            </c:dLbl>
            <c:dLbl>
              <c:idx val="219"/>
              <c:layout>
                <c:manualLayout>
                  <c:x val="0"/>
                  <c:y val="-7.5757556928150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BC-474D-BB51-586DB5A38149}"/>
                </c:ext>
              </c:extLst>
            </c:dLbl>
            <c:dLbl>
              <c:idx val="232"/>
              <c:layout>
                <c:manualLayout>
                  <c:x val="8.0756799309178642E-3"/>
                  <c:y val="-0.10101007590420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6BC-474D-BB51-586DB5A38149}"/>
                </c:ext>
              </c:extLst>
            </c:dLbl>
            <c:dLbl>
              <c:idx val="252"/>
              <c:layout>
                <c:manualLayout>
                  <c:x val="5.3837866206119757E-3"/>
                  <c:y val="-6.6287862312131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BC-474D-BB51-586DB5A38149}"/>
                </c:ext>
              </c:extLst>
            </c:dLbl>
            <c:spPr>
              <a:solidFill>
                <a:srgbClr val="00B050"/>
              </a:solidFill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'Multiple Trade'!$A:$A</c:f>
              <c:strCache>
                <c:ptCount val="254"/>
                <c:pt idx="0">
                  <c:v>Date</c:v>
                </c:pt>
                <c:pt idx="1">
                  <c:v>7/1/2024</c:v>
                </c:pt>
                <c:pt idx="2">
                  <c:v>7/2/2024</c:v>
                </c:pt>
                <c:pt idx="3">
                  <c:v>7/3/2024</c:v>
                </c:pt>
                <c:pt idx="4">
                  <c:v>7/4/2024</c:v>
                </c:pt>
                <c:pt idx="5">
                  <c:v>7/5/2024</c:v>
                </c:pt>
                <c:pt idx="6">
                  <c:v>7/8/2024</c:v>
                </c:pt>
                <c:pt idx="7">
                  <c:v>7/9/2024</c:v>
                </c:pt>
                <c:pt idx="8">
                  <c:v>7/10/2024</c:v>
                </c:pt>
                <c:pt idx="9">
                  <c:v>7/11/2024</c:v>
                </c:pt>
                <c:pt idx="10">
                  <c:v>7/12/2024</c:v>
                </c:pt>
                <c:pt idx="11">
                  <c:v>7/15/2024</c:v>
                </c:pt>
                <c:pt idx="12">
                  <c:v>7/16/2024</c:v>
                </c:pt>
                <c:pt idx="13">
                  <c:v>7/17/2024</c:v>
                </c:pt>
                <c:pt idx="14">
                  <c:v>7/18/2024</c:v>
                </c:pt>
                <c:pt idx="15">
                  <c:v>7/19/2024</c:v>
                </c:pt>
                <c:pt idx="16">
                  <c:v>7/22/2024</c:v>
                </c:pt>
                <c:pt idx="17">
                  <c:v>7/23/2024</c:v>
                </c:pt>
                <c:pt idx="18">
                  <c:v>7/24/2024</c:v>
                </c:pt>
                <c:pt idx="19">
                  <c:v>7/25/2024</c:v>
                </c:pt>
                <c:pt idx="20">
                  <c:v>7/26/2024</c:v>
                </c:pt>
                <c:pt idx="21">
                  <c:v>7/29/2024</c:v>
                </c:pt>
                <c:pt idx="22">
                  <c:v>7/30/2024</c:v>
                </c:pt>
                <c:pt idx="23">
                  <c:v>7/31/2024</c:v>
                </c:pt>
                <c:pt idx="24">
                  <c:v>8/1/2024</c:v>
                </c:pt>
                <c:pt idx="25">
                  <c:v>8/2/2024</c:v>
                </c:pt>
                <c:pt idx="26">
                  <c:v>8/5/2024</c:v>
                </c:pt>
                <c:pt idx="27">
                  <c:v>8/6/2024</c:v>
                </c:pt>
                <c:pt idx="28">
                  <c:v>8/7/2024</c:v>
                </c:pt>
                <c:pt idx="29">
                  <c:v>8/8/2024</c:v>
                </c:pt>
                <c:pt idx="30">
                  <c:v>8/9/2024</c:v>
                </c:pt>
                <c:pt idx="31">
                  <c:v>8/12/2024</c:v>
                </c:pt>
                <c:pt idx="32">
                  <c:v>8/13/2024</c:v>
                </c:pt>
                <c:pt idx="33">
                  <c:v>8/14/2024</c:v>
                </c:pt>
                <c:pt idx="34">
                  <c:v>8/15/2024</c:v>
                </c:pt>
                <c:pt idx="35">
                  <c:v>8/16/2024</c:v>
                </c:pt>
                <c:pt idx="36">
                  <c:v>8/19/2024</c:v>
                </c:pt>
                <c:pt idx="37">
                  <c:v>8/20/2024</c:v>
                </c:pt>
                <c:pt idx="38">
                  <c:v>8/21/2024</c:v>
                </c:pt>
                <c:pt idx="39">
                  <c:v>8/22/2024</c:v>
                </c:pt>
                <c:pt idx="40">
                  <c:v>8/23/2024</c:v>
                </c:pt>
                <c:pt idx="41">
                  <c:v>8/26/2024</c:v>
                </c:pt>
                <c:pt idx="42">
                  <c:v>8/27/2024</c:v>
                </c:pt>
                <c:pt idx="43">
                  <c:v>8/28/2024</c:v>
                </c:pt>
                <c:pt idx="44">
                  <c:v>8/29/2024</c:v>
                </c:pt>
                <c:pt idx="45">
                  <c:v>8/30/2024</c:v>
                </c:pt>
                <c:pt idx="46">
                  <c:v>9/2/2024</c:v>
                </c:pt>
                <c:pt idx="47">
                  <c:v>9/3/2024</c:v>
                </c:pt>
                <c:pt idx="48">
                  <c:v>9/4/2024</c:v>
                </c:pt>
                <c:pt idx="49">
                  <c:v>9/5/2024</c:v>
                </c:pt>
                <c:pt idx="50">
                  <c:v>9/6/2024</c:v>
                </c:pt>
                <c:pt idx="51">
                  <c:v>9/9/2024</c:v>
                </c:pt>
                <c:pt idx="52">
                  <c:v>9/10/2024</c:v>
                </c:pt>
                <c:pt idx="53">
                  <c:v>9/11/2024</c:v>
                </c:pt>
                <c:pt idx="54">
                  <c:v>9/12/2024</c:v>
                </c:pt>
                <c:pt idx="55">
                  <c:v>9/13/2024</c:v>
                </c:pt>
                <c:pt idx="56">
                  <c:v>9/16/2024</c:v>
                </c:pt>
                <c:pt idx="57">
                  <c:v>9/17/2024</c:v>
                </c:pt>
                <c:pt idx="58">
                  <c:v>9/18/2024</c:v>
                </c:pt>
                <c:pt idx="59">
                  <c:v>9/19/2024</c:v>
                </c:pt>
                <c:pt idx="60">
                  <c:v>9/20/2024</c:v>
                </c:pt>
                <c:pt idx="61">
                  <c:v>9/23/2024</c:v>
                </c:pt>
                <c:pt idx="62">
                  <c:v>9/24/2024</c:v>
                </c:pt>
                <c:pt idx="63">
                  <c:v>9/25/2024</c:v>
                </c:pt>
                <c:pt idx="64">
                  <c:v>9/26/2024</c:v>
                </c:pt>
                <c:pt idx="65">
                  <c:v>9/27/2024</c:v>
                </c:pt>
                <c:pt idx="66">
                  <c:v>9/30/2024</c:v>
                </c:pt>
                <c:pt idx="67">
                  <c:v>10/1/2024</c:v>
                </c:pt>
                <c:pt idx="68">
                  <c:v>10/2/2024</c:v>
                </c:pt>
                <c:pt idx="69">
                  <c:v>10/3/2024</c:v>
                </c:pt>
                <c:pt idx="70">
                  <c:v>10/4/2024</c:v>
                </c:pt>
                <c:pt idx="71">
                  <c:v>10/7/2024</c:v>
                </c:pt>
                <c:pt idx="72">
                  <c:v>10/8/2024</c:v>
                </c:pt>
                <c:pt idx="73">
                  <c:v>10/9/2024</c:v>
                </c:pt>
                <c:pt idx="74">
                  <c:v>10/10/2024</c:v>
                </c:pt>
                <c:pt idx="75">
                  <c:v>10/11/2024</c:v>
                </c:pt>
                <c:pt idx="76">
                  <c:v>10/14/2024</c:v>
                </c:pt>
                <c:pt idx="77">
                  <c:v>10/15/2024</c:v>
                </c:pt>
                <c:pt idx="78">
                  <c:v>10/16/2024</c:v>
                </c:pt>
                <c:pt idx="79">
                  <c:v>10/17/2024</c:v>
                </c:pt>
                <c:pt idx="80">
                  <c:v>10/18/2024</c:v>
                </c:pt>
                <c:pt idx="81">
                  <c:v>10/21/2024</c:v>
                </c:pt>
                <c:pt idx="82">
                  <c:v>10/22/2024</c:v>
                </c:pt>
                <c:pt idx="83">
                  <c:v>10/23/2024</c:v>
                </c:pt>
                <c:pt idx="84">
                  <c:v>10/24/2024</c:v>
                </c:pt>
                <c:pt idx="85">
                  <c:v>10/25/2024</c:v>
                </c:pt>
                <c:pt idx="86">
                  <c:v>10/28/2024</c:v>
                </c:pt>
                <c:pt idx="87">
                  <c:v>10/29/2024</c:v>
                </c:pt>
                <c:pt idx="88">
                  <c:v>10/30/2024</c:v>
                </c:pt>
                <c:pt idx="89">
                  <c:v>10/31/2024</c:v>
                </c:pt>
                <c:pt idx="90">
                  <c:v>11/1/2024</c:v>
                </c:pt>
                <c:pt idx="91">
                  <c:v>11/4/2024</c:v>
                </c:pt>
                <c:pt idx="92">
                  <c:v>11/5/2024</c:v>
                </c:pt>
                <c:pt idx="93">
                  <c:v>11/6/2024</c:v>
                </c:pt>
                <c:pt idx="94">
                  <c:v>11/7/2024</c:v>
                </c:pt>
                <c:pt idx="95">
                  <c:v>11/8/2024</c:v>
                </c:pt>
                <c:pt idx="96">
                  <c:v>11/11/2024</c:v>
                </c:pt>
                <c:pt idx="97">
                  <c:v>11/12/2024</c:v>
                </c:pt>
                <c:pt idx="98">
                  <c:v>11/13/2024</c:v>
                </c:pt>
                <c:pt idx="99">
                  <c:v>11/14/2024</c:v>
                </c:pt>
                <c:pt idx="100">
                  <c:v>11/15/2024</c:v>
                </c:pt>
                <c:pt idx="101">
                  <c:v>11/18/2024</c:v>
                </c:pt>
                <c:pt idx="102">
                  <c:v>11/19/2024</c:v>
                </c:pt>
                <c:pt idx="103">
                  <c:v>11/20/2024</c:v>
                </c:pt>
                <c:pt idx="104">
                  <c:v>11/21/2024</c:v>
                </c:pt>
                <c:pt idx="105">
                  <c:v>11/22/2024</c:v>
                </c:pt>
                <c:pt idx="106">
                  <c:v>11/25/2024</c:v>
                </c:pt>
                <c:pt idx="107">
                  <c:v>11/26/2024</c:v>
                </c:pt>
                <c:pt idx="108">
                  <c:v>11/27/2024</c:v>
                </c:pt>
                <c:pt idx="109">
                  <c:v>11/28/2024</c:v>
                </c:pt>
                <c:pt idx="110">
                  <c:v>11/29/2024</c:v>
                </c:pt>
                <c:pt idx="111">
                  <c:v>12/2/2024</c:v>
                </c:pt>
                <c:pt idx="112">
                  <c:v>12/3/2024</c:v>
                </c:pt>
                <c:pt idx="113">
                  <c:v>12/4/2024</c:v>
                </c:pt>
                <c:pt idx="114">
                  <c:v>12/5/2024</c:v>
                </c:pt>
                <c:pt idx="115">
                  <c:v>12/6/2024</c:v>
                </c:pt>
                <c:pt idx="116">
                  <c:v>12/9/2024</c:v>
                </c:pt>
                <c:pt idx="117">
                  <c:v>12/10/2024</c:v>
                </c:pt>
                <c:pt idx="118">
                  <c:v>12/11/2024</c:v>
                </c:pt>
                <c:pt idx="119">
                  <c:v>12/12/2024</c:v>
                </c:pt>
                <c:pt idx="120">
                  <c:v>12/13/2024</c:v>
                </c:pt>
                <c:pt idx="121">
                  <c:v>12/16/2024</c:v>
                </c:pt>
                <c:pt idx="122">
                  <c:v>12/17/2024</c:v>
                </c:pt>
                <c:pt idx="123">
                  <c:v>12/18/2024</c:v>
                </c:pt>
                <c:pt idx="124">
                  <c:v>12/19/2024</c:v>
                </c:pt>
                <c:pt idx="125">
                  <c:v>12/20/2024</c:v>
                </c:pt>
                <c:pt idx="126">
                  <c:v>12/23/2024</c:v>
                </c:pt>
                <c:pt idx="127">
                  <c:v>12/24/2024</c:v>
                </c:pt>
                <c:pt idx="128">
                  <c:v>12/27/2024</c:v>
                </c:pt>
                <c:pt idx="129">
                  <c:v>12/30/2024</c:v>
                </c:pt>
                <c:pt idx="130">
                  <c:v>12/31/2024</c:v>
                </c:pt>
                <c:pt idx="131">
                  <c:v>1/2/2025</c:v>
                </c:pt>
                <c:pt idx="132">
                  <c:v>1/3/2025</c:v>
                </c:pt>
                <c:pt idx="133">
                  <c:v>1/6/2025</c:v>
                </c:pt>
                <c:pt idx="134">
                  <c:v>1/7/2025</c:v>
                </c:pt>
                <c:pt idx="135">
                  <c:v>1/8/2025</c:v>
                </c:pt>
                <c:pt idx="136">
                  <c:v>1/9/2025</c:v>
                </c:pt>
                <c:pt idx="137">
                  <c:v>1/10/2025</c:v>
                </c:pt>
                <c:pt idx="138">
                  <c:v>1/13/2025</c:v>
                </c:pt>
                <c:pt idx="139">
                  <c:v>1/14/2025</c:v>
                </c:pt>
                <c:pt idx="140">
                  <c:v>1/15/2025</c:v>
                </c:pt>
                <c:pt idx="141">
                  <c:v>1/16/2025</c:v>
                </c:pt>
                <c:pt idx="142">
                  <c:v>1/17/2025</c:v>
                </c:pt>
                <c:pt idx="143">
                  <c:v>1/20/2025</c:v>
                </c:pt>
                <c:pt idx="144">
                  <c:v>1/21/2025</c:v>
                </c:pt>
                <c:pt idx="145">
                  <c:v>1/22/2025</c:v>
                </c:pt>
                <c:pt idx="146">
                  <c:v>1/23/2025</c:v>
                </c:pt>
                <c:pt idx="147">
                  <c:v>1/24/2025</c:v>
                </c:pt>
                <c:pt idx="148">
                  <c:v>1/28/2025</c:v>
                </c:pt>
                <c:pt idx="149">
                  <c:v>1/29/2025</c:v>
                </c:pt>
                <c:pt idx="150">
                  <c:v>1/30/2025</c:v>
                </c:pt>
                <c:pt idx="151">
                  <c:v>1/31/2025</c:v>
                </c:pt>
                <c:pt idx="152">
                  <c:v>2/3/2025</c:v>
                </c:pt>
                <c:pt idx="153">
                  <c:v>2/4/2025</c:v>
                </c:pt>
                <c:pt idx="154">
                  <c:v>2/5/2025</c:v>
                </c:pt>
                <c:pt idx="155">
                  <c:v>2/6/2025</c:v>
                </c:pt>
                <c:pt idx="156">
                  <c:v>2/7/2025</c:v>
                </c:pt>
                <c:pt idx="157">
                  <c:v>2/10/2025</c:v>
                </c:pt>
                <c:pt idx="158">
                  <c:v>2/11/2025</c:v>
                </c:pt>
                <c:pt idx="159">
                  <c:v>2/12/2025</c:v>
                </c:pt>
                <c:pt idx="160">
                  <c:v>2/13/2025</c:v>
                </c:pt>
                <c:pt idx="161">
                  <c:v>2/14/2025</c:v>
                </c:pt>
                <c:pt idx="162">
                  <c:v>2/17/2025</c:v>
                </c:pt>
                <c:pt idx="163">
                  <c:v>2/18/2025</c:v>
                </c:pt>
                <c:pt idx="164">
                  <c:v>2/19/2025</c:v>
                </c:pt>
                <c:pt idx="165">
                  <c:v>2/20/2025</c:v>
                </c:pt>
                <c:pt idx="166">
                  <c:v>2/21/2025</c:v>
                </c:pt>
                <c:pt idx="167">
                  <c:v>2/24/2025</c:v>
                </c:pt>
                <c:pt idx="168">
                  <c:v>2/25/2025</c:v>
                </c:pt>
                <c:pt idx="169">
                  <c:v>2/26/2025</c:v>
                </c:pt>
                <c:pt idx="170">
                  <c:v>2/27/2025</c:v>
                </c:pt>
                <c:pt idx="171">
                  <c:v>2/28/2025</c:v>
                </c:pt>
                <c:pt idx="172">
                  <c:v>3/3/2025</c:v>
                </c:pt>
                <c:pt idx="173">
                  <c:v>3/4/2025</c:v>
                </c:pt>
                <c:pt idx="174">
                  <c:v>3/5/2025</c:v>
                </c:pt>
                <c:pt idx="175">
                  <c:v>3/6/2025</c:v>
                </c:pt>
                <c:pt idx="176">
                  <c:v>3/7/2025</c:v>
                </c:pt>
                <c:pt idx="177">
                  <c:v>3/10/2025</c:v>
                </c:pt>
                <c:pt idx="178">
                  <c:v>3/11/2025</c:v>
                </c:pt>
                <c:pt idx="179">
                  <c:v>3/12/2025</c:v>
                </c:pt>
                <c:pt idx="180">
                  <c:v>3/13/2025</c:v>
                </c:pt>
                <c:pt idx="181">
                  <c:v>3/14/2025</c:v>
                </c:pt>
                <c:pt idx="182">
                  <c:v>3/17/2025</c:v>
                </c:pt>
                <c:pt idx="183">
                  <c:v>3/18/2025</c:v>
                </c:pt>
                <c:pt idx="184">
                  <c:v>3/19/2025</c:v>
                </c:pt>
                <c:pt idx="185">
                  <c:v>3/20/2025</c:v>
                </c:pt>
                <c:pt idx="186">
                  <c:v>3/21/2025</c:v>
                </c:pt>
                <c:pt idx="187">
                  <c:v>3/24/2025</c:v>
                </c:pt>
                <c:pt idx="188">
                  <c:v>3/25/2025</c:v>
                </c:pt>
                <c:pt idx="189">
                  <c:v>3/26/2025</c:v>
                </c:pt>
                <c:pt idx="190">
                  <c:v>3/27/2025</c:v>
                </c:pt>
                <c:pt idx="191">
                  <c:v>3/28/2025</c:v>
                </c:pt>
                <c:pt idx="192">
                  <c:v>3/31/2025</c:v>
                </c:pt>
                <c:pt idx="193">
                  <c:v>4/1/2025</c:v>
                </c:pt>
                <c:pt idx="194">
                  <c:v>4/2/2025</c:v>
                </c:pt>
                <c:pt idx="195">
                  <c:v>4/3/2025</c:v>
                </c:pt>
                <c:pt idx="196">
                  <c:v>4/4/2025</c:v>
                </c:pt>
                <c:pt idx="197">
                  <c:v>4/7/2025</c:v>
                </c:pt>
                <c:pt idx="198">
                  <c:v>4/8/2025</c:v>
                </c:pt>
                <c:pt idx="199">
                  <c:v>4/9/2025</c:v>
                </c:pt>
                <c:pt idx="200">
                  <c:v>4/10/2025</c:v>
                </c:pt>
                <c:pt idx="201">
                  <c:v>4/11/2025</c:v>
                </c:pt>
                <c:pt idx="202">
                  <c:v>4/14/2025</c:v>
                </c:pt>
                <c:pt idx="203">
                  <c:v>4/15/2025</c:v>
                </c:pt>
                <c:pt idx="204">
                  <c:v>4/16/2025</c:v>
                </c:pt>
                <c:pt idx="205">
                  <c:v>4/17/2025</c:v>
                </c:pt>
                <c:pt idx="206">
                  <c:v>4/22/2025</c:v>
                </c:pt>
                <c:pt idx="207">
                  <c:v>4/23/2025</c:v>
                </c:pt>
                <c:pt idx="208">
                  <c:v>4/24/2025</c:v>
                </c:pt>
                <c:pt idx="209">
                  <c:v>4/28/2025</c:v>
                </c:pt>
                <c:pt idx="210">
                  <c:v>4/29/2025</c:v>
                </c:pt>
                <c:pt idx="211">
                  <c:v>4/30/2025</c:v>
                </c:pt>
                <c:pt idx="212">
                  <c:v>5/1/2025</c:v>
                </c:pt>
                <c:pt idx="213">
                  <c:v>5/2/2025</c:v>
                </c:pt>
                <c:pt idx="214">
                  <c:v>5/5/2025</c:v>
                </c:pt>
                <c:pt idx="215">
                  <c:v>5/6/2025</c:v>
                </c:pt>
                <c:pt idx="216">
                  <c:v>5/7/2025</c:v>
                </c:pt>
                <c:pt idx="217">
                  <c:v>5/8/2025</c:v>
                </c:pt>
                <c:pt idx="218">
                  <c:v>5/9/2025</c:v>
                </c:pt>
                <c:pt idx="219">
                  <c:v>5/12/2025</c:v>
                </c:pt>
                <c:pt idx="220">
                  <c:v>5/13/2025</c:v>
                </c:pt>
                <c:pt idx="221">
                  <c:v>5/14/2025</c:v>
                </c:pt>
                <c:pt idx="222">
                  <c:v>5/15/2025</c:v>
                </c:pt>
                <c:pt idx="223">
                  <c:v>5/16/2025</c:v>
                </c:pt>
                <c:pt idx="224">
                  <c:v>5/19/2025</c:v>
                </c:pt>
                <c:pt idx="225">
                  <c:v>5/20/2025</c:v>
                </c:pt>
                <c:pt idx="226">
                  <c:v>5/21/2025</c:v>
                </c:pt>
                <c:pt idx="227">
                  <c:v>5/22/2025</c:v>
                </c:pt>
                <c:pt idx="228">
                  <c:v>5/23/2025</c:v>
                </c:pt>
                <c:pt idx="229">
                  <c:v>5/26/2025</c:v>
                </c:pt>
                <c:pt idx="230">
                  <c:v>5/27/2025</c:v>
                </c:pt>
                <c:pt idx="231">
                  <c:v>5/28/2025</c:v>
                </c:pt>
                <c:pt idx="232">
                  <c:v>5/29/2025</c:v>
                </c:pt>
                <c:pt idx="233">
                  <c:v>5/30/2025</c:v>
                </c:pt>
                <c:pt idx="234">
                  <c:v>6/2/2025</c:v>
                </c:pt>
                <c:pt idx="235">
                  <c:v>6/3/2025</c:v>
                </c:pt>
                <c:pt idx="236">
                  <c:v>6/4/2025</c:v>
                </c:pt>
                <c:pt idx="237">
                  <c:v>6/5/2025</c:v>
                </c:pt>
                <c:pt idx="238">
                  <c:v>6/6/2025</c:v>
                </c:pt>
                <c:pt idx="239">
                  <c:v>6/10/2025</c:v>
                </c:pt>
                <c:pt idx="240">
                  <c:v>6/11/2025</c:v>
                </c:pt>
                <c:pt idx="241">
                  <c:v>6/12/2025</c:v>
                </c:pt>
                <c:pt idx="242">
                  <c:v>6/13/2025</c:v>
                </c:pt>
                <c:pt idx="243">
                  <c:v>6/16/2025</c:v>
                </c:pt>
                <c:pt idx="244">
                  <c:v>6/17/2025</c:v>
                </c:pt>
                <c:pt idx="245">
                  <c:v>6/18/2025</c:v>
                </c:pt>
                <c:pt idx="246">
                  <c:v>6/19/2025</c:v>
                </c:pt>
                <c:pt idx="247">
                  <c:v>6/20/2025</c:v>
                </c:pt>
                <c:pt idx="248">
                  <c:v>6/23/2025</c:v>
                </c:pt>
                <c:pt idx="249">
                  <c:v>6/24/2025</c:v>
                </c:pt>
                <c:pt idx="250">
                  <c:v>6/25/2025</c:v>
                </c:pt>
                <c:pt idx="251">
                  <c:v>6/26/2025</c:v>
                </c:pt>
                <c:pt idx="252">
                  <c:v>6/27/2025</c:v>
                </c:pt>
                <c:pt idx="253">
                  <c:v>6/30/2025</c:v>
                </c:pt>
              </c:strCache>
            </c:strRef>
          </c:cat>
          <c:val>
            <c:numLit>
              <c:formatCode>General</c:formatCode>
              <c:ptCount val="253"/>
              <c:pt idx="17">
                <c:v>5.9</c:v>
              </c:pt>
              <c:pt idx="38">
                <c:v>7.05</c:v>
              </c:pt>
              <c:pt idx="68">
                <c:v>7.75</c:v>
              </c:pt>
              <c:pt idx="113">
                <c:v>8.14</c:v>
              </c:pt>
              <c:pt idx="127">
                <c:v>8.39</c:v>
              </c:pt>
              <c:pt idx="164">
                <c:v>9.3000000000000007</c:v>
              </c:pt>
              <c:pt idx="199">
                <c:v>7.45</c:v>
              </c:pt>
              <c:pt idx="219">
                <c:v>8.64</c:v>
              </c:pt>
              <c:pt idx="232">
                <c:v>7.77</c:v>
              </c:pt>
              <c:pt idx="252">
                <c:v>7.78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7DD-4712-9E8F-639E01AAA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tickLblSkip val="15"/>
        <c:noMultiLvlLbl val="0"/>
      </c:catAx>
      <c:valAx>
        <c:axId val="100"/>
        <c:scaling>
          <c:orientation val="minMax"/>
          <c:min val="4.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Close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56432217212821"/>
          <c:y val="0.61406060473004498"/>
          <c:w val="0.12143567782787162"/>
          <c:h val="0.1800664743578183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Portfolio</a:t>
            </a:r>
            <a:endParaRPr lang="en-US"/>
          </a:p>
        </c:rich>
      </c:tx>
      <c:layout>
        <c:manualLayout>
          <c:xMode val="edge"/>
          <c:yMode val="edge"/>
          <c:x val="0.42213011294936448"/>
          <c:y val="3.4104748123903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'Multiple Trade'!$X$7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'Multiple Trade'!$X$8:$X$17</c:f>
              <c:numCache>
                <c:formatCode>General</c:formatCode>
                <c:ptCount val="10"/>
                <c:pt idx="0">
                  <c:v>1840.92</c:v>
                </c:pt>
                <c:pt idx="1">
                  <c:v>1059.3</c:v>
                </c:pt>
                <c:pt idx="2">
                  <c:v>1578.66</c:v>
                </c:pt>
                <c:pt idx="3">
                  <c:v>2784.24</c:v>
                </c:pt>
                <c:pt idx="4">
                  <c:v>3080.72</c:v>
                </c:pt>
                <c:pt idx="5">
                  <c:v>2236.7399999999998</c:v>
                </c:pt>
                <c:pt idx="6">
                  <c:v>2740.79</c:v>
                </c:pt>
                <c:pt idx="7">
                  <c:v>1381.12</c:v>
                </c:pt>
                <c:pt idx="8">
                  <c:v>2358.7199999999998</c:v>
                </c:pt>
                <c:pt idx="9">
                  <c:v>1660.12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5-4005-9751-5A4B63504E96}"/>
            </c:ext>
          </c:extLst>
        </c:ser>
        <c:ser>
          <c:idx val="1"/>
          <c:order val="1"/>
          <c:tx>
            <c:strRef>
              <c:f>'Multiple Trade'!$Y$7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'Multiple Trade'!$Y$8:$Y$17</c:f>
              <c:numCache>
                <c:formatCode>General</c:formatCode>
                <c:ptCount val="10"/>
                <c:pt idx="0">
                  <c:v>2139</c:v>
                </c:pt>
                <c:pt idx="1">
                  <c:v>1262.5999999999999</c:v>
                </c:pt>
                <c:pt idx="2">
                  <c:v>1755.45</c:v>
                </c:pt>
                <c:pt idx="3">
                  <c:v>2962.96</c:v>
                </c:pt>
                <c:pt idx="4">
                  <c:v>3255.32</c:v>
                </c:pt>
                <c:pt idx="5">
                  <c:v>2361.23</c:v>
                </c:pt>
                <c:pt idx="6">
                  <c:v>2933.06</c:v>
                </c:pt>
                <c:pt idx="7">
                  <c:v>1555.1</c:v>
                </c:pt>
                <c:pt idx="8">
                  <c:v>2517.48</c:v>
                </c:pt>
                <c:pt idx="9">
                  <c:v>1802.9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5-4005-9751-5A4B6350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7577544"/>
        <c:axId val="597577904"/>
      </c:barChart>
      <c:lineChart>
        <c:grouping val="standard"/>
        <c:varyColors val="0"/>
        <c:ser>
          <c:idx val="2"/>
          <c:order val="2"/>
          <c:tx>
            <c:strRef>
              <c:f>'Multiple Trade'!$Z$7</c:f>
              <c:strCache>
                <c:ptCount val="1"/>
                <c:pt idx="0">
                  <c:v>Profit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'Multiple Trade'!$Z$8:$Z$17</c:f>
              <c:numCache>
                <c:formatCode>General</c:formatCode>
                <c:ptCount val="10"/>
                <c:pt idx="0">
                  <c:v>16.190000000000001</c:v>
                </c:pt>
                <c:pt idx="1">
                  <c:v>19.190000000000001</c:v>
                </c:pt>
                <c:pt idx="2">
                  <c:v>11.2</c:v>
                </c:pt>
                <c:pt idx="3">
                  <c:v>6.27</c:v>
                </c:pt>
                <c:pt idx="4">
                  <c:v>5.67</c:v>
                </c:pt>
                <c:pt idx="5">
                  <c:v>5.56</c:v>
                </c:pt>
                <c:pt idx="6">
                  <c:v>7.02</c:v>
                </c:pt>
                <c:pt idx="7">
                  <c:v>12.6</c:v>
                </c:pt>
                <c:pt idx="8">
                  <c:v>6.73</c:v>
                </c:pt>
                <c:pt idx="9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45-4005-9751-5A4B6350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577544"/>
        <c:axId val="597577904"/>
      </c:lineChart>
      <c:lineChart>
        <c:grouping val="standard"/>
        <c:varyColors val="0"/>
        <c:ser>
          <c:idx val="3"/>
          <c:order val="3"/>
          <c:tx>
            <c:strRef>
              <c:f>'Multiple Trade'!$AA$7</c:f>
              <c:strCache>
                <c:ptCount val="1"/>
                <c:pt idx="0">
                  <c:v>Cumulative Portfolio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1135068885571538E-2"/>
                  <c:y val="-0.1220794478969910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426672695713658E-2"/>
                      <c:h val="6.440172842982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C45-4005-9751-5A4B63504E9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45-4005-9751-5A4B63504E9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45-4005-9751-5A4B63504E9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45-4005-9751-5A4B63504E96}"/>
                </c:ext>
              </c:extLst>
            </c:dLbl>
            <c:dLbl>
              <c:idx val="4"/>
              <c:layout>
                <c:manualLayout>
                  <c:x val="4.6270067820260823E-2"/>
                  <c:y val="-0.111776440078806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45-4005-9751-5A4B63504E9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45-4005-9751-5A4B63504E9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45-4005-9751-5A4B63504E9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45-4005-9751-5A4B63504E9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45-4005-9751-5A4B63504E96}"/>
                </c:ext>
              </c:extLst>
            </c:dLbl>
            <c:dLbl>
              <c:idx val="9"/>
              <c:layout>
                <c:manualLayout>
                  <c:x val="-4.2965062975956599E-2"/>
                  <c:y val="-5.8682631041373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45-4005-9751-5A4B63504E96}"/>
                </c:ext>
              </c:extLst>
            </c:dLbl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'Multiple Trade'!$AA$8:$AA$17</c:f>
              <c:numCache>
                <c:formatCode>General</c:formatCode>
                <c:ptCount val="10"/>
                <c:pt idx="0">
                  <c:v>1161.9000000000001</c:v>
                </c:pt>
                <c:pt idx="1">
                  <c:v>1384.87</c:v>
                </c:pt>
                <c:pt idx="2">
                  <c:v>1539.97</c:v>
                </c:pt>
                <c:pt idx="3">
                  <c:v>1636.53</c:v>
                </c:pt>
                <c:pt idx="4">
                  <c:v>1729.32</c:v>
                </c:pt>
                <c:pt idx="5">
                  <c:v>1825.47</c:v>
                </c:pt>
                <c:pt idx="6">
                  <c:v>1953.62</c:v>
                </c:pt>
                <c:pt idx="7">
                  <c:v>2199.7800000000002</c:v>
                </c:pt>
                <c:pt idx="8">
                  <c:v>2347.8200000000002</c:v>
                </c:pt>
                <c:pt idx="9">
                  <c:v>2549.73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45-4005-9751-5A4B6350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585464"/>
        <c:axId val="597583664"/>
      </c:lineChart>
      <c:catAx>
        <c:axId val="597577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77904"/>
        <c:crosses val="autoZero"/>
        <c:auto val="1"/>
        <c:lblAlgn val="ctr"/>
        <c:lblOffset val="100"/>
        <c:noMultiLvlLbl val="0"/>
      </c:catAx>
      <c:valAx>
        <c:axId val="5975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77544"/>
        <c:crosses val="autoZero"/>
        <c:crossBetween val="between"/>
      </c:valAx>
      <c:valAx>
        <c:axId val="5975836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Cumulative Portfolio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85464"/>
        <c:crosses val="max"/>
        <c:crossBetween val="between"/>
      </c:valAx>
      <c:catAx>
        <c:axId val="597585464"/>
        <c:scaling>
          <c:orientation val="minMax"/>
        </c:scaling>
        <c:delete val="1"/>
        <c:axPos val="b"/>
        <c:majorTickMark val="out"/>
        <c:minorTickMark val="none"/>
        <c:tickLblPos val="nextTo"/>
        <c:crossAx val="59758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53340</xdr:rowOff>
    </xdr:from>
    <xdr:to>
      <xdr:col>19</xdr:col>
      <xdr:colOff>266700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0.31099</cdr:x>
      <cdr:y>0.17463</cdr:y>
    </cdr:from>
    <cdr:to>
      <cdr:x>0.54321</cdr:x>
      <cdr:y>0.2849</cdr:y>
    </cdr:to>
    <cdr:sp macro="" textlink="">
      <cdr:nvSpPr>
        <cdr:cNvPr id="2" name="Arrow: Right 1">
          <a:extLst xmlns:a="http://schemas.openxmlformats.org/drawingml/2006/main">
            <a:ext uri="{FF2B5EF4-FFF2-40B4-BE49-F238E27FC236}">
              <a16:creationId xmlns:a16="http://schemas.microsoft.com/office/drawing/2014/main" id="{62664845-AA3A-75CA-E2F4-DBAFD71021DA}"/>
            </a:ext>
          </a:extLst>
        </cdr:cNvPr>
        <cdr:cNvSpPr/>
      </cdr:nvSpPr>
      <cdr:spPr>
        <a:xfrm xmlns:a="http://schemas.openxmlformats.org/drawingml/2006/main" rot="20871586">
          <a:off x="2322341" y="665327"/>
          <a:ext cx="1734110" cy="420157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600"/>
            <a:t>High volume followed by price</a:t>
          </a:r>
          <a:r>
            <a:rPr lang="en-US"/>
            <a:t> </a:t>
          </a:r>
          <a:r>
            <a:rPr lang="en-US" sz="600"/>
            <a:t>peak</a:t>
          </a:r>
          <a:endParaRPr lang="en-US" sz="600" kern="1200"/>
        </a:p>
      </cdr:txBody>
    </cdr:sp>
  </cdr:relSizeAnchor>
  <cdr:relSizeAnchor xmlns:cdr="http://schemas.openxmlformats.org/drawingml/2006/chartDrawing">
    <cdr:from>
      <cdr:x>0.66395</cdr:x>
      <cdr:y>0.14133</cdr:y>
    </cdr:from>
    <cdr:to>
      <cdr:x>0.86324</cdr:x>
      <cdr:y>0.26549</cdr:y>
    </cdr:to>
    <cdr:sp macro="" textlink="">
      <cdr:nvSpPr>
        <cdr:cNvPr id="3" name="Arrow: Right 2">
          <a:extLst xmlns:a="http://schemas.openxmlformats.org/drawingml/2006/main">
            <a:ext uri="{FF2B5EF4-FFF2-40B4-BE49-F238E27FC236}">
              <a16:creationId xmlns:a16="http://schemas.microsoft.com/office/drawing/2014/main" id="{FA531842-5DC6-4574-62CB-6B2BE9901D04}"/>
            </a:ext>
          </a:extLst>
        </cdr:cNvPr>
        <cdr:cNvSpPr/>
      </cdr:nvSpPr>
      <cdr:spPr>
        <a:xfrm xmlns:a="http://schemas.openxmlformats.org/drawingml/2006/main" rot="968955">
          <a:off x="4958079" y="538481"/>
          <a:ext cx="1488274" cy="473040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600" b="1"/>
            <a:t>Volume declining during price fall</a:t>
          </a:r>
          <a:r>
            <a:rPr lang="en-US" sz="600"/>
            <a:t> </a:t>
          </a:r>
          <a:endParaRPr lang="en-US" sz="600" kern="1200"/>
        </a:p>
      </cdr:txBody>
    </cdr:sp>
  </cdr:relSizeAnchor>
  <cdr:relSizeAnchor xmlns:cdr="http://schemas.openxmlformats.org/drawingml/2006/chartDrawing">
    <cdr:from>
      <cdr:x>0.32449</cdr:x>
      <cdr:y>0.23</cdr:y>
    </cdr:from>
    <cdr:to>
      <cdr:x>0.42143</cdr:x>
      <cdr:y>0.258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5F4CBB-5A1A-D083-267E-3CFB30008683}"/>
            </a:ext>
          </a:extLst>
        </cdr:cNvPr>
        <cdr:cNvSpPr txBox="1"/>
      </cdr:nvSpPr>
      <cdr:spPr>
        <a:xfrm xmlns:a="http://schemas.openxmlformats.org/drawingml/2006/main" rot="20705124">
          <a:off x="2423160" y="876300"/>
          <a:ext cx="723900" cy="106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178844</xdr:colOff>
      <xdr:row>6</xdr:row>
      <xdr:rowOff>24652</xdr:rowOff>
    </xdr:from>
    <xdr:to>
      <xdr:col>28</xdr:col>
      <xdr:colOff>554181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0.29437</cdr:x>
      <cdr:y>0.16529</cdr:y>
    </cdr:from>
    <cdr:to>
      <cdr:x>0.47344</cdr:x>
      <cdr:y>0.26237</cdr:y>
    </cdr:to>
    <cdr:sp macro="" textlink="">
      <cdr:nvSpPr>
        <cdr:cNvPr id="2" name="Arrow: Right 1">
          <a:extLst xmlns:a="http://schemas.openxmlformats.org/drawingml/2006/main">
            <a:ext uri="{FF2B5EF4-FFF2-40B4-BE49-F238E27FC236}">
              <a16:creationId xmlns:a16="http://schemas.microsoft.com/office/drawing/2014/main" id="{68FB5719-754B-2C09-FE75-BD884F555CBF}"/>
            </a:ext>
          </a:extLst>
        </cdr:cNvPr>
        <cdr:cNvSpPr/>
      </cdr:nvSpPr>
      <cdr:spPr>
        <a:xfrm xmlns:a="http://schemas.openxmlformats.org/drawingml/2006/main" rot="20852313">
          <a:off x="3878875" y="1037885"/>
          <a:ext cx="2359598" cy="609581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0.68728</cdr:x>
      <cdr:y>0.14489</cdr:y>
    </cdr:from>
    <cdr:to>
      <cdr:x>0.83121</cdr:x>
      <cdr:y>0.24197</cdr:y>
    </cdr:to>
    <cdr:sp macro="" textlink="">
      <cdr:nvSpPr>
        <cdr:cNvPr id="3" name="Arrow: Right 2">
          <a:extLst xmlns:a="http://schemas.openxmlformats.org/drawingml/2006/main">
            <a:ext uri="{FF2B5EF4-FFF2-40B4-BE49-F238E27FC236}">
              <a16:creationId xmlns:a16="http://schemas.microsoft.com/office/drawing/2014/main" id="{3326FCD0-A67D-1534-DD32-5D901CD2748B}"/>
            </a:ext>
          </a:extLst>
        </cdr:cNvPr>
        <cdr:cNvSpPr/>
      </cdr:nvSpPr>
      <cdr:spPr>
        <a:xfrm xmlns:a="http://schemas.openxmlformats.org/drawingml/2006/main" rot="1509188">
          <a:off x="9056256" y="909782"/>
          <a:ext cx="1896594" cy="60960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C0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kern="1200"/>
            <a:t>Downward trend</a:t>
          </a:r>
        </a:p>
      </cdr:txBody>
    </cdr:sp>
  </cdr:relSizeAnchor>
  <cdr:relSizeAnchor xmlns:cdr="http://schemas.openxmlformats.org/drawingml/2006/chartDrawing">
    <cdr:from>
      <cdr:x>0.17561</cdr:x>
      <cdr:y>0.35067</cdr:y>
    </cdr:from>
    <cdr:to>
      <cdr:x>0.19709</cdr:x>
      <cdr:y>0.52888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3140DAA1-1CC7-0FD4-B8FF-F757ADAC5E59}"/>
            </a:ext>
          </a:extLst>
        </cdr:cNvPr>
        <cdr:cNvCxnSpPr/>
      </cdr:nvCxnSpPr>
      <cdr:spPr>
        <a:xfrm xmlns:a="http://schemas.openxmlformats.org/drawingml/2006/main" flipH="1" flipV="1">
          <a:off x="2313985" y="2163377"/>
          <a:ext cx="283028" cy="109945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0.11448</cdr:x>
      <cdr:y>0.29773</cdr:y>
    </cdr:from>
    <cdr:to>
      <cdr:x>0.22518</cdr:x>
      <cdr:y>0.4089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BD1ADE6-B5AA-96E5-1FA7-1F7DB4630A23}"/>
            </a:ext>
          </a:extLst>
        </cdr:cNvPr>
        <cdr:cNvSpPr txBox="1"/>
      </cdr:nvSpPr>
      <cdr:spPr>
        <a:xfrm xmlns:a="http://schemas.openxmlformats.org/drawingml/2006/main">
          <a:off x="1508442" y="1836806"/>
          <a:ext cx="1458685" cy="685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/>
            <a:t>Breakout zone</a:t>
          </a:r>
        </a:p>
      </cdr:txBody>
    </cdr:sp>
  </cdr:relSizeAnchor>
  <cdr:relSizeAnchor xmlns:cdr="http://schemas.openxmlformats.org/drawingml/2006/chartDrawing">
    <cdr:from>
      <cdr:x>0.7448</cdr:x>
      <cdr:y>0.60122</cdr:y>
    </cdr:from>
    <cdr:to>
      <cdr:x>0.77124</cdr:x>
      <cdr:y>0.65416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A13ACDD4-284C-2FEA-2E1A-BB48626F6044}"/>
            </a:ext>
          </a:extLst>
        </cdr:cNvPr>
        <cdr:cNvCxnSpPr/>
      </cdr:nvCxnSpPr>
      <cdr:spPr>
        <a:xfrm xmlns:a="http://schemas.openxmlformats.org/drawingml/2006/main" flipH="1">
          <a:off x="9814242" y="3709148"/>
          <a:ext cx="348343" cy="32657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0.71341</cdr:x>
      <cdr:y>0.65239</cdr:y>
    </cdr:from>
    <cdr:to>
      <cdr:x>0.78363</cdr:x>
      <cdr:y>0.70004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B25666FD-594B-168F-29D9-4CFB87908C66}"/>
            </a:ext>
          </a:extLst>
        </cdr:cNvPr>
        <cdr:cNvSpPr txBox="1"/>
      </cdr:nvSpPr>
      <cdr:spPr>
        <a:xfrm xmlns:a="http://schemas.openxmlformats.org/drawingml/2006/main">
          <a:off x="9400584" y="4024833"/>
          <a:ext cx="925286" cy="293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/>
            <a:t>Pullback</a:t>
          </a:r>
        </a:p>
      </cdr:txBody>
    </cdr:sp>
  </cdr:relSizeAnchor>
  <cdr:relSizeAnchor xmlns:cdr="http://schemas.openxmlformats.org/drawingml/2006/chartDrawing">
    <cdr:from>
      <cdr:x>0.30921</cdr:x>
      <cdr:y>0.2101</cdr:y>
    </cdr:from>
    <cdr:to>
      <cdr:x>0.42172</cdr:x>
      <cdr:y>0.23658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5D4ECFA-4E45-87ED-E145-0239AB8E91FF}"/>
            </a:ext>
          </a:extLst>
        </cdr:cNvPr>
        <cdr:cNvSpPr txBox="1"/>
      </cdr:nvSpPr>
      <cdr:spPr>
        <a:xfrm xmlns:a="http://schemas.openxmlformats.org/drawingml/2006/main">
          <a:off x="4074502" y="1319239"/>
          <a:ext cx="1482436" cy="166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0.33655</cdr:x>
      <cdr:y>0.17921</cdr:y>
    </cdr:from>
    <cdr:to>
      <cdr:x>0.46062</cdr:x>
      <cdr:y>0.22996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EB65B999-1352-97E1-0076-E556ECC40FF0}"/>
            </a:ext>
          </a:extLst>
        </cdr:cNvPr>
        <cdr:cNvSpPr txBox="1"/>
      </cdr:nvSpPr>
      <cdr:spPr>
        <a:xfrm xmlns:a="http://schemas.openxmlformats.org/drawingml/2006/main" rot="20790110">
          <a:off x="4434719" y="1125276"/>
          <a:ext cx="1634836" cy="3186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Upward trennd</a:t>
          </a:r>
        </a:p>
      </cdr:txBody>
    </cdr:sp>
  </cdr:relSizeAnchor>
  <cdr:relSizeAnchor xmlns:cdr="http://schemas.openxmlformats.org/drawingml/2006/chartDrawing">
    <cdr:from>
      <cdr:x>0.70782</cdr:x>
      <cdr:y>0.17067</cdr:y>
    </cdr:from>
    <cdr:to>
      <cdr:x>0.79921</cdr:x>
      <cdr:y>0.22232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1FF95E49-CD21-B616-1A4A-8F4F4F5DFBF6}"/>
            </a:ext>
          </a:extLst>
        </cdr:cNvPr>
        <cdr:cNvSpPr txBox="1"/>
      </cdr:nvSpPr>
      <cdr:spPr>
        <a:xfrm xmlns:a="http://schemas.openxmlformats.org/drawingml/2006/main" rot="1626049">
          <a:off x="9326963" y="1071673"/>
          <a:ext cx="1204227" cy="3243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163285</xdr:colOff>
      <xdr:row>1</xdr:row>
      <xdr:rowOff>45175</xdr:rowOff>
    </xdr:from>
    <xdr:to>
      <xdr:col>17</xdr:col>
      <xdr:colOff>98612</xdr:colOff>
      <xdr:row>33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0CD75-4DBC-9CD3-409D-931CAF629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0.06316</cdr:x>
      <cdr:y>0.88781</cdr:y>
    </cdr:from>
    <cdr:to>
      <cdr:x>0.09474</cdr:x>
      <cdr:y>0.92053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C017A979-ADE0-D94B-878F-CFB3C2E96B4D}"/>
            </a:ext>
          </a:extLst>
        </cdr:cNvPr>
        <cdr:cNvCxnSpPr/>
      </cdr:nvCxnSpPr>
      <cdr:spPr>
        <a:xfrm xmlns:a="http://schemas.openxmlformats.org/drawingml/2006/main">
          <a:off x="587829" y="4134938"/>
          <a:ext cx="293914" cy="1524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0.12047</cdr:x>
      <cdr:y>0.83639</cdr:y>
    </cdr:from>
    <cdr:to>
      <cdr:x>0.29006</cdr:x>
      <cdr:y>0.95325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854BCB2-AA98-8A61-7B0C-AB37534C963E}"/>
            </a:ext>
          </a:extLst>
        </cdr:cNvPr>
        <cdr:cNvSpPr txBox="1"/>
      </cdr:nvSpPr>
      <cdr:spPr>
        <a:xfrm xmlns:a="http://schemas.openxmlformats.org/drawingml/2006/main">
          <a:off x="1121229" y="3895452"/>
          <a:ext cx="1578429" cy="544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rgbClr val="FF0000"/>
              </a:solidFill>
            </a:rPr>
            <a:t>Drop due to</a:t>
          </a:r>
          <a:r>
            <a:rPr lang="en-US" sz="1100" b="1" kern="1200" baseline="0">
              <a:solidFill>
                <a:srgbClr val="FF0000"/>
              </a:solidFill>
            </a:rPr>
            <a:t> price fall not dilution</a:t>
          </a:r>
          <a:endParaRPr lang="en-US" sz="1100" b="1" kern="1200">
            <a:solidFill>
              <a:srgbClr val="FF0000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1504122</xdr:colOff>
      <xdr:row>3</xdr:row>
      <xdr:rowOff>59635</xdr:rowOff>
    </xdr:from>
    <xdr:to>
      <xdr:col>19</xdr:col>
      <xdr:colOff>198120</xdr:colOff>
      <xdr:row>25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B89CA8-0772-7082-62CC-01C0E36FC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0.04498</cdr:x>
      <cdr:y>0.71125</cdr:y>
    </cdr:from>
    <cdr:to>
      <cdr:x>0.0651</cdr:x>
      <cdr:y>0.76005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1875A2A-6385-C132-0559-DDA07C1703C6}"/>
            </a:ext>
          </a:extLst>
        </cdr:cNvPr>
        <cdr:cNvCxnSpPr/>
      </cdr:nvCxnSpPr>
      <cdr:spPr>
        <a:xfrm xmlns:a="http://schemas.openxmlformats.org/drawingml/2006/main">
          <a:off x="361950" y="2360295"/>
          <a:ext cx="161925" cy="1619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0.05682</cdr:x>
      <cdr:y>0.73421</cdr:y>
    </cdr:from>
    <cdr:to>
      <cdr:x>0.3054</cdr:x>
      <cdr:y>0.79305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26361A-8A91-5384-30AF-6444420F4009}"/>
            </a:ext>
          </a:extLst>
        </cdr:cNvPr>
        <cdr:cNvSpPr txBox="1"/>
      </cdr:nvSpPr>
      <cdr:spPr>
        <a:xfrm xmlns:a="http://schemas.openxmlformats.org/drawingml/2006/main">
          <a:off x="457200" y="2436495"/>
          <a:ext cx="2000250" cy="1952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 b="1" kern="1200">
              <a:solidFill>
                <a:srgbClr val="FF0000"/>
              </a:solidFill>
            </a:rPr>
            <a:t>Price dip despite stable PE</a:t>
          </a:r>
        </a:p>
      </cdr:txBody>
    </cdr:sp>
  </cdr:relSizeAnchor>
  <cdr:relSizeAnchor xmlns:cdr="http://schemas.openxmlformats.org/drawingml/2006/chartDrawing">
    <cdr:from>
      <cdr:x>0.37521</cdr:x>
      <cdr:y>0.16717</cdr:y>
    </cdr:from>
    <cdr:to>
      <cdr:x>0.51535</cdr:x>
      <cdr:y>0.27968</cdr:y>
    </cdr:to>
    <cdr:sp macro="" textlink="">
      <cdr:nvSpPr>
        <cdr:cNvPr id="6" name="Arrow: Right 5">
          <a:extLst xmlns:a="http://schemas.openxmlformats.org/drawingml/2006/main">
            <a:ext uri="{FF2B5EF4-FFF2-40B4-BE49-F238E27FC236}">
              <a16:creationId xmlns:a16="http://schemas.microsoft.com/office/drawing/2014/main" id="{4EA04123-7668-C973-EC05-F57963842E36}"/>
            </a:ext>
          </a:extLst>
        </cdr:cNvPr>
        <cdr:cNvSpPr/>
      </cdr:nvSpPr>
      <cdr:spPr>
        <a:xfrm xmlns:a="http://schemas.openxmlformats.org/drawingml/2006/main" rot="20891393">
          <a:off x="3019235" y="551278"/>
          <a:ext cx="1127672" cy="371060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322729</xdr:colOff>
      <xdr:row>3</xdr:row>
      <xdr:rowOff>71719</xdr:rowOff>
    </xdr:from>
    <xdr:to>
      <xdr:col>17</xdr:col>
      <xdr:colOff>600635</xdr:colOff>
      <xdr:row>27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73583A-7AA5-C686-4406-49F7248EB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0.42698</cdr:x>
      <cdr:y>0.14164</cdr:y>
    </cdr:from>
    <cdr:to>
      <cdr:x>0.57538</cdr:x>
      <cdr:y>0.17812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82E76A9-B93A-23EA-48D2-42A5C8A044C7}"/>
            </a:ext>
          </a:extLst>
        </cdr:cNvPr>
        <cdr:cNvSpPr txBox="1"/>
      </cdr:nvSpPr>
      <cdr:spPr>
        <a:xfrm xmlns:a="http://schemas.openxmlformats.org/drawingml/2006/main">
          <a:off x="2589848" y="443865"/>
          <a:ext cx="900112" cy="114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0.40107</cdr:x>
      <cdr:y>0.11884</cdr:y>
    </cdr:from>
    <cdr:to>
      <cdr:x>0.57773</cdr:x>
      <cdr:y>0.17964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1329B58-D1C6-5569-2BBA-4FF3B0FD9A73}"/>
            </a:ext>
          </a:extLst>
        </cdr:cNvPr>
        <cdr:cNvSpPr txBox="1"/>
      </cdr:nvSpPr>
      <cdr:spPr>
        <a:xfrm xmlns:a="http://schemas.openxmlformats.org/drawingml/2006/main">
          <a:off x="2432685" y="372427"/>
          <a:ext cx="1071563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0.36009</cdr:x>
      <cdr:y>0.46358</cdr:y>
    </cdr:from>
    <cdr:to>
      <cdr:x>0.5915</cdr:x>
      <cdr:y>0.57395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F493EB3-FAF6-F8A1-1A32-D9B2E13BE1F4}"/>
            </a:ext>
          </a:extLst>
        </cdr:cNvPr>
        <cdr:cNvSpPr txBox="1"/>
      </cdr:nvSpPr>
      <cdr:spPr>
        <a:xfrm xmlns:a="http://schemas.openxmlformats.org/drawingml/2006/main">
          <a:off x="2734236" y="1882587"/>
          <a:ext cx="1757082" cy="44823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Inverse Relationship-price increases, yield decreases</a:t>
          </a:r>
          <a:endParaRPr lang="en-US" sz="800" b="1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130437</xdr:colOff>
      <xdr:row>10</xdr:row>
      <xdr:rowOff>24653</xdr:rowOff>
    </xdr:from>
    <xdr:to>
      <xdr:col>16</xdr:col>
      <xdr:colOff>510988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0.39413</cdr:x>
      <cdr:y>0.14682</cdr:y>
    </cdr:from>
    <cdr:to>
      <cdr:x>0.58573</cdr:x>
      <cdr:y>0.28166</cdr:y>
    </cdr:to>
    <cdr:sp macro="" textlink="">
      <cdr:nvSpPr>
        <cdr:cNvPr id="2" name="Arrow: Right 1">
          <a:extLst xmlns:a="http://schemas.openxmlformats.org/drawingml/2006/main">
            <a:ext uri="{FF2B5EF4-FFF2-40B4-BE49-F238E27FC236}">
              <a16:creationId xmlns:a16="http://schemas.microsoft.com/office/drawing/2014/main" id="{3C4F550D-9DF8-59C7-3B11-31B7FDABB4B7}"/>
            </a:ext>
          </a:extLst>
        </cdr:cNvPr>
        <cdr:cNvSpPr/>
      </cdr:nvSpPr>
      <cdr:spPr>
        <a:xfrm xmlns:a="http://schemas.openxmlformats.org/drawingml/2006/main" rot="20750612">
          <a:off x="3162276" y="577699"/>
          <a:ext cx="1537291" cy="530511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kern="1200"/>
            <a:t>Growth Phase</a:t>
          </a:r>
        </a:p>
      </cdr:txBody>
    </cdr:sp>
  </cdr:relSizeAnchor>
  <cdr:relSizeAnchor xmlns:cdr="http://schemas.openxmlformats.org/drawingml/2006/chartDrawing">
    <cdr:from>
      <cdr:x>0.38832</cdr:x>
      <cdr:y>0.17191</cdr:y>
    </cdr:from>
    <cdr:to>
      <cdr:x>0.48425</cdr:x>
      <cdr:y>0.2087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BAB8A40-7FCB-0C6F-7918-B01CB3AA36FD}"/>
            </a:ext>
          </a:extLst>
        </cdr:cNvPr>
        <cdr:cNvSpPr txBox="1"/>
      </cdr:nvSpPr>
      <cdr:spPr>
        <a:xfrm xmlns:a="http://schemas.openxmlformats.org/drawingml/2006/main" rot="20683314">
          <a:off x="3115683" y="676387"/>
          <a:ext cx="769620" cy="144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0.65901</cdr:x>
      <cdr:y>0.24282</cdr:y>
    </cdr:from>
    <cdr:to>
      <cdr:x>0.80435</cdr:x>
      <cdr:y>0.2832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7D7B2E1-22B8-8870-D124-8BC9997CD01D}"/>
            </a:ext>
          </a:extLst>
        </cdr:cNvPr>
        <cdr:cNvSpPr txBox="1"/>
      </cdr:nvSpPr>
      <cdr:spPr>
        <a:xfrm xmlns:a="http://schemas.openxmlformats.org/drawingml/2006/main">
          <a:off x="5284245" y="970429"/>
          <a:ext cx="1165412" cy="1613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0.652</cdr:x>
      <cdr:y>0.27943</cdr:y>
    </cdr:from>
    <cdr:to>
      <cdr:x>0.77622</cdr:x>
      <cdr:y>0.38694</cdr:y>
    </cdr:to>
    <cdr:sp macro="" textlink="">
      <cdr:nvSpPr>
        <cdr:cNvPr id="6" name="Arrow: Right 5">
          <a:extLst xmlns:a="http://schemas.openxmlformats.org/drawingml/2006/main">
            <a:ext uri="{FF2B5EF4-FFF2-40B4-BE49-F238E27FC236}">
              <a16:creationId xmlns:a16="http://schemas.microsoft.com/office/drawing/2014/main" id="{7BB2FF7A-BF30-A00C-0834-E586C3BDB0B4}"/>
            </a:ext>
          </a:extLst>
        </cdr:cNvPr>
        <cdr:cNvSpPr/>
      </cdr:nvSpPr>
      <cdr:spPr>
        <a:xfrm xmlns:a="http://schemas.openxmlformats.org/drawingml/2006/main" rot="1398130">
          <a:off x="5824269" y="1116738"/>
          <a:ext cx="1109576" cy="429653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 volitality zone</a:t>
          </a:r>
          <a:endParaRPr lang="en-US">
            <a:effectLst/>
          </a:endParaRPr>
        </a:p>
        <a:p xmlns:a="http://schemas.openxmlformats.org/drawingml/2006/main">
          <a:endParaRPr lang="en-US" kern="12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181213</xdr:colOff>
      <xdr:row>7</xdr:row>
      <xdr:rowOff>16178</xdr:rowOff>
    </xdr:from>
    <xdr:to>
      <xdr:col>28</xdr:col>
      <xdr:colOff>533398</xdr:colOff>
      <xdr:row>37</xdr:row>
      <xdr:rowOff>65313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8E9A2-C07E-6C30-BFCB-F9353F77F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39</xdr:row>
      <xdr:rowOff>0</xdr:rowOff>
    </xdr:from>
    <xdr:to>
      <xdr:col>24</xdr:col>
      <xdr:colOff>457200</xdr:colOff>
      <xdr:row>58</xdr:row>
      <xdr:rowOff>103094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848027-A565-4EF9-BAA6-10A419C39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0.36397</cdr:x>
      <cdr:y>0.25703</cdr:y>
    </cdr:from>
    <cdr:to>
      <cdr:x>0.55324</cdr:x>
      <cdr:y>0.36118</cdr:y>
    </cdr:to>
    <cdr:sp macro="" textlink="">
      <cdr:nvSpPr>
        <cdr:cNvPr id="2" name="Arrow: Right 1">
          <a:extLst xmlns:a="http://schemas.openxmlformats.org/drawingml/2006/main">
            <a:ext uri="{FF2B5EF4-FFF2-40B4-BE49-F238E27FC236}">
              <a16:creationId xmlns:a16="http://schemas.microsoft.com/office/drawing/2014/main" id="{A9FDDB92-33E2-B1FD-C00D-03ECCBE0F31A}"/>
            </a:ext>
          </a:extLst>
        </cdr:cNvPr>
        <cdr:cNvSpPr/>
      </cdr:nvSpPr>
      <cdr:spPr>
        <a:xfrm xmlns:a="http://schemas.openxmlformats.org/drawingml/2006/main" rot="20432445">
          <a:off x="3234455" y="1330650"/>
          <a:ext cx="1681973" cy="539182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00B05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kern="1200"/>
            <a:t>           Upward trend</a:t>
          </a:r>
        </a:p>
      </cdr:txBody>
    </cdr:sp>
  </cdr:relSizeAnchor>
  <cdr:relSizeAnchor xmlns:cdr="http://schemas.openxmlformats.org/drawingml/2006/chartDrawing">
    <cdr:from>
      <cdr:x>0.31676</cdr:x>
      <cdr:y>0.29306</cdr:y>
    </cdr:from>
    <cdr:to>
      <cdr:x>0.32191</cdr:x>
      <cdr:y>0.30189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B004899-1DC1-0ECA-F7CC-DBD4481DABF0}"/>
            </a:ext>
          </a:extLst>
        </cdr:cNvPr>
        <cdr:cNvSpPr txBox="1"/>
      </cdr:nvSpPr>
      <cdr:spPr>
        <a:xfrm xmlns:a="http://schemas.openxmlformats.org/drawingml/2006/main">
          <a:off x="2814919" y="1517172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535577</xdr:colOff>
      <xdr:row>18</xdr:row>
      <xdr:rowOff>124096</xdr:rowOff>
    </xdr:from>
    <xdr:ext cx="9435738" cy="4698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9EEF4-22CB-4DB1-A467-952B70B95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533400</xdr:colOff>
      <xdr:row>47</xdr:row>
      <xdr:rowOff>81644</xdr:rowOff>
    </xdr:from>
    <xdr:to>
      <xdr:col>18</xdr:col>
      <xdr:colOff>228599</xdr:colOff>
      <xdr:row>76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B9DE4A-9673-61A6-3E20-12415A09B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0.39953</cdr:x>
      <cdr:y>0.10324</cdr:y>
    </cdr:from>
    <cdr:to>
      <cdr:x>0.55784</cdr:x>
      <cdr:y>0.21169</cdr:y>
    </cdr:to>
    <cdr:sp macro="" textlink="">
      <cdr:nvSpPr>
        <cdr:cNvPr id="2" name="Arrow: Right 1">
          <a:extLst xmlns:a="http://schemas.openxmlformats.org/drawingml/2006/main">
            <a:ext uri="{FF2B5EF4-FFF2-40B4-BE49-F238E27FC236}">
              <a16:creationId xmlns:a16="http://schemas.microsoft.com/office/drawing/2014/main" id="{394F5A3A-2899-77A0-0483-0E642B9DF099}"/>
            </a:ext>
          </a:extLst>
        </cdr:cNvPr>
        <cdr:cNvSpPr/>
      </cdr:nvSpPr>
      <cdr:spPr>
        <a:xfrm xmlns:a="http://schemas.openxmlformats.org/drawingml/2006/main" rot="20912140">
          <a:off x="3769862" y="485037"/>
          <a:ext cx="1493768" cy="509520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0.14456</cdr:x>
      <cdr:y>0.19409</cdr:y>
    </cdr:from>
    <cdr:to>
      <cdr:x>0.32928</cdr:x>
      <cdr:y>0.2899</cdr:y>
    </cdr:to>
    <cdr:sp macro="" textlink="">
      <cdr:nvSpPr>
        <cdr:cNvPr id="2" name="Arrow: Right 1">
          <a:extLst xmlns:a="http://schemas.openxmlformats.org/drawingml/2006/main">
            <a:ext uri="{FF2B5EF4-FFF2-40B4-BE49-F238E27FC236}">
              <a16:creationId xmlns:a16="http://schemas.microsoft.com/office/drawing/2014/main" id="{1F5BF305-5AC8-055B-6FB1-7ECDE7F69CEB}"/>
            </a:ext>
          </a:extLst>
        </cdr:cNvPr>
        <cdr:cNvSpPr/>
      </cdr:nvSpPr>
      <cdr:spPr>
        <a:xfrm xmlns:a="http://schemas.openxmlformats.org/drawingml/2006/main" rot="20339799">
          <a:off x="1110991" y="882086"/>
          <a:ext cx="1419656" cy="435428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0.55195</cdr:x>
      <cdr:y>0.12239</cdr:y>
    </cdr:from>
    <cdr:to>
      <cdr:x>0.70892</cdr:x>
      <cdr:y>0.21344</cdr:y>
    </cdr:to>
    <cdr:sp macro="" textlink="">
      <cdr:nvSpPr>
        <cdr:cNvPr id="3" name="Arrow: Right 2">
          <a:extLst xmlns:a="http://schemas.openxmlformats.org/drawingml/2006/main">
            <a:ext uri="{FF2B5EF4-FFF2-40B4-BE49-F238E27FC236}">
              <a16:creationId xmlns:a16="http://schemas.microsoft.com/office/drawing/2014/main" id="{394F5A3A-2899-77A0-0483-0E642B9DF099}"/>
            </a:ext>
          </a:extLst>
        </cdr:cNvPr>
        <cdr:cNvSpPr/>
      </cdr:nvSpPr>
      <cdr:spPr>
        <a:xfrm xmlns:a="http://schemas.openxmlformats.org/drawingml/2006/main" rot="20575891">
          <a:off x="4241872" y="556231"/>
          <a:ext cx="1206364" cy="413818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single_trade_userdata.xlsx" TargetMode="External"/><Relationship Id="rId1" Type="http://schemas.openxmlformats.org/officeDocument/2006/relationships/externalLinkPath" Target="file:///C:\Users\user\Downloads\single_trade_user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gleTrade"/>
    </sheetNames>
    <sheetDataSet>
      <sheetData sheetId="0">
        <row r="2">
          <cell r="E2" t="str">
            <v>2024-07-03</v>
          </cell>
          <cell r="F2">
            <v>995.67</v>
          </cell>
          <cell r="G2">
            <v>1</v>
          </cell>
        </row>
        <row r="3">
          <cell r="E3" t="str">
            <v>2025-02-20</v>
          </cell>
          <cell r="F3">
            <v>1925.1</v>
          </cell>
          <cell r="G3">
            <v>1.9334719334999999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1D0D4-99CB-40D6-94DA-FA71486C1E83}" name="Table1" displayName="Table1" ref="G23:I33" totalsRowShown="0">
  <autoFilter ref="G23:I33" xr:uid="{EBE1D0D4-99CB-40D6-94DA-FA71486C1E83}"/>
  <tableColumns count="3">
    <tableColumn id="1" xr3:uid="{7BF18F1D-C8A3-4EAE-B486-0452E13161C8}" name="Metric"/>
    <tableColumn id="2" xr3:uid="{5F116262-F3AA-4B76-8B1C-D1D5108ED6F7}" name="Value"/>
    <tableColumn id="3" xr3:uid="{77E1BC8D-37E6-4D05-8AE9-B9321D341AE5}" name="Inves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B283E-C8BE-42CC-9FC9-39B706F48519}" name="Table2" displayName="Table2" ref="K23:M26" totalsRowShown="0">
  <autoFilter ref="K23:M26" xr:uid="{5BEB283E-C8BE-42CC-9FC9-39B706F48519}"/>
  <tableColumns count="3">
    <tableColumn id="1" xr3:uid="{619FFE00-E3BA-4F0A-947B-045CFDFFC7B5}" name="Chart Date"/>
    <tableColumn id="2" xr3:uid="{2F3B65CB-5239-460C-802E-910AEAEE7A9E}" name="Value ($)"/>
    <tableColumn id="3" xr3:uid="{71FBBD7F-468A-483E-A436-D936DA7FB9FB}" name="Return Inde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162B18-4563-4D21-866C-8C1BFAAC9DB0}" name="Table3" displayName="Table3" ref="H6:J15" totalsRowShown="0" headerRowBorderDxfId="5" tableBorderDxfId="4" totalsRowBorderDxfId="3">
  <autoFilter ref="H6:J15" xr:uid="{42162B18-4563-4D21-866C-8C1BFAAC9DB0}"/>
  <tableColumns count="3">
    <tableColumn id="1" xr3:uid="{956EBD24-5220-40FE-AD7E-CDED181845F4}" name="Metric" dataDxfId="2"/>
    <tableColumn id="2" xr3:uid="{2E77F635-B645-4847-8A92-67D4619B47B8}" name="Value" dataDxfId="1"/>
    <tableColumn id="3" xr3:uid="{49CF6760-8F07-4137-BBE6-E6FF534F0045}" name="Inves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3.xml"/><Relationship Id="rId4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4"/>
  <sheetViews>
    <sheetView topLeftCell="A185" zoomScale="70" zoomScaleNormal="70" workbookViewId="0">
      <selection activeCell="B237" sqref="B237"/>
    </sheetView>
  </sheetViews>
  <sheetFormatPr defaultRowHeight="15" customHeight="1" x14ac:dyDescent="0.25"/>
  <cols>
    <col min="1" max="1" width="14.77734375" customWidth="1"/>
    <col min="2" max="2" width="27.77734375" customWidth="1"/>
    <col min="3" max="3" width="18.5546875" style="1" customWidth="1"/>
    <col min="4" max="8" width="18.5546875" style="2" customWidth="1"/>
    <col min="9" max="9" width="27.77734375" style="2" customWidth="1"/>
    <col min="10" max="10" width="18.5546875" style="2" customWidth="1"/>
    <col min="14" max="14" width="16" bestFit="1" customWidth="1"/>
    <col min="15" max="15" width="12" bestFit="1" customWidth="1"/>
    <col min="16" max="16" width="27.5546875" bestFit="1" customWidth="1"/>
    <col min="17" max="17" width="14.5546875" bestFit="1" customWidth="1"/>
  </cols>
  <sheetData>
    <row r="1" spans="1:17" ht="1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12</v>
      </c>
      <c r="L1" s="3" t="s">
        <v>13</v>
      </c>
      <c r="M1" s="3" t="s">
        <v>14</v>
      </c>
      <c r="N1" s="3" t="s">
        <v>15</v>
      </c>
      <c r="P1" s="3" t="s">
        <v>30</v>
      </c>
      <c r="Q1" s="3" t="s">
        <v>16</v>
      </c>
    </row>
    <row r="2" spans="1:17" ht="15" customHeight="1" x14ac:dyDescent="0.25">
      <c r="A2" t="s">
        <v>10</v>
      </c>
      <c r="B2" t="s">
        <v>11</v>
      </c>
      <c r="C2" s="1">
        <v>45474</v>
      </c>
      <c r="D2" s="4">
        <v>4.95</v>
      </c>
      <c r="E2" s="4">
        <v>5.0199999999999996</v>
      </c>
      <c r="F2" s="4">
        <v>4.8499999999999996</v>
      </c>
      <c r="G2" s="4">
        <v>4.95</v>
      </c>
      <c r="H2" s="4">
        <v>43745</v>
      </c>
      <c r="I2" s="4">
        <v>379.77</v>
      </c>
      <c r="J2" s="4">
        <v>76720810</v>
      </c>
      <c r="K2">
        <f>(22+19+16.5)/100</f>
        <v>0.57499999999999996</v>
      </c>
      <c r="L2">
        <f>P2/Q2</f>
        <v>0.39524245196706315</v>
      </c>
      <c r="M2">
        <f>G2/$L$2</f>
        <v>12.523958333333333</v>
      </c>
      <c r="N2" s="5">
        <f>$K$2/G2</f>
        <v>0.11616161616161615</v>
      </c>
      <c r="O2" s="8">
        <f>I2 *1000000 / J2</f>
        <v>4.9500259447208652</v>
      </c>
      <c r="P2">
        <v>8.64</v>
      </c>
      <c r="Q2">
        <v>21.86</v>
      </c>
    </row>
    <row r="3" spans="1:17" ht="15" customHeight="1" x14ac:dyDescent="0.25">
      <c r="A3" t="s">
        <v>10</v>
      </c>
      <c r="B3" t="s">
        <v>11</v>
      </c>
      <c r="C3" s="1">
        <v>45475</v>
      </c>
      <c r="D3" s="4">
        <v>4.9000000000000004</v>
      </c>
      <c r="E3" s="4">
        <v>4.9800000000000004</v>
      </c>
      <c r="F3" s="4">
        <v>4.88</v>
      </c>
      <c r="G3" s="4">
        <v>4.96</v>
      </c>
      <c r="H3" s="4">
        <v>20190</v>
      </c>
      <c r="I3" s="4">
        <v>380.54</v>
      </c>
      <c r="J3" s="4">
        <v>76720810</v>
      </c>
      <c r="M3">
        <f t="shared" ref="M3:M66" si="0">G3/$L$2</f>
        <v>12.549259259259259</v>
      </c>
      <c r="N3" s="5">
        <f t="shared" ref="N3:N66" si="1">$K$2/G3</f>
        <v>0.1159274193548387</v>
      </c>
      <c r="O3" s="8">
        <f t="shared" ref="O3:O66" si="2">I3 * 1000000 / J3</f>
        <v>4.9600623351082973</v>
      </c>
    </row>
    <row r="4" spans="1:17" ht="15" customHeight="1" x14ac:dyDescent="0.25">
      <c r="A4" t="s">
        <v>10</v>
      </c>
      <c r="B4" t="s">
        <v>11</v>
      </c>
      <c r="C4" s="1">
        <v>45476</v>
      </c>
      <c r="D4" s="4">
        <v>4.95</v>
      </c>
      <c r="E4" s="4">
        <v>4.9800000000000004</v>
      </c>
      <c r="F4" s="4">
        <v>4.8099999999999996</v>
      </c>
      <c r="G4" s="4">
        <v>4.8099999999999996</v>
      </c>
      <c r="H4" s="4">
        <v>85301</v>
      </c>
      <c r="I4" s="4">
        <v>369.03</v>
      </c>
      <c r="J4" s="4">
        <v>76720810</v>
      </c>
      <c r="M4">
        <f t="shared" si="0"/>
        <v>12.169745370370368</v>
      </c>
      <c r="N4" s="5">
        <f t="shared" si="1"/>
        <v>0.11954261954261955</v>
      </c>
      <c r="O4" s="8">
        <f t="shared" si="2"/>
        <v>4.8100378502260339</v>
      </c>
    </row>
    <row r="5" spans="1:17" ht="15" customHeight="1" x14ac:dyDescent="0.25">
      <c r="A5" t="s">
        <v>10</v>
      </c>
      <c r="B5" t="s">
        <v>11</v>
      </c>
      <c r="C5" s="1">
        <v>45477</v>
      </c>
      <c r="D5" s="4">
        <v>4.84</v>
      </c>
      <c r="E5" s="4">
        <v>4.9800000000000004</v>
      </c>
      <c r="F5" s="4">
        <v>4.83</v>
      </c>
      <c r="G5" s="4">
        <v>4.84</v>
      </c>
      <c r="H5" s="4">
        <v>35134</v>
      </c>
      <c r="I5" s="4">
        <v>371.33</v>
      </c>
      <c r="J5" s="4">
        <v>76720810</v>
      </c>
      <c r="M5">
        <f t="shared" si="0"/>
        <v>12.245648148148147</v>
      </c>
      <c r="N5" s="5">
        <f t="shared" si="1"/>
        <v>0.11880165289256198</v>
      </c>
      <c r="O5" s="8">
        <f t="shared" si="2"/>
        <v>4.8400166786560259</v>
      </c>
    </row>
    <row r="6" spans="1:17" ht="15" customHeight="1" x14ac:dyDescent="0.25">
      <c r="A6" t="s">
        <v>10</v>
      </c>
      <c r="B6" t="s">
        <v>11</v>
      </c>
      <c r="C6" s="1">
        <v>45478</v>
      </c>
      <c r="D6" s="4">
        <v>4.8099999999999996</v>
      </c>
      <c r="E6" s="4">
        <v>4.8899999999999997</v>
      </c>
      <c r="F6" s="4">
        <v>4.8099999999999996</v>
      </c>
      <c r="G6" s="4">
        <v>4.82</v>
      </c>
      <c r="H6" s="4">
        <v>11781</v>
      </c>
      <c r="I6" s="4">
        <v>369.79</v>
      </c>
      <c r="J6" s="4">
        <v>76720810</v>
      </c>
      <c r="M6">
        <f t="shared" si="0"/>
        <v>12.195046296296297</v>
      </c>
      <c r="N6" s="5">
        <f t="shared" si="1"/>
        <v>0.11929460580912861</v>
      </c>
      <c r="O6" s="8">
        <f t="shared" si="2"/>
        <v>4.8199438978811617</v>
      </c>
    </row>
    <row r="7" spans="1:17" ht="15" customHeight="1" x14ac:dyDescent="0.25">
      <c r="A7" t="s">
        <v>10</v>
      </c>
      <c r="B7" t="s">
        <v>11</v>
      </c>
      <c r="C7" s="1">
        <v>45481</v>
      </c>
      <c r="D7" s="4">
        <v>4.82</v>
      </c>
      <c r="E7" s="4">
        <v>4.99</v>
      </c>
      <c r="F7" s="4">
        <v>4.79</v>
      </c>
      <c r="G7" s="4">
        <v>4.8099999999999996</v>
      </c>
      <c r="H7" s="4">
        <v>42865</v>
      </c>
      <c r="I7" s="4">
        <v>369.03</v>
      </c>
      <c r="J7" s="4">
        <v>76720810</v>
      </c>
      <c r="M7">
        <f t="shared" si="0"/>
        <v>12.169745370370368</v>
      </c>
      <c r="N7" s="5">
        <f t="shared" si="1"/>
        <v>0.11954261954261955</v>
      </c>
      <c r="O7" s="8">
        <f t="shared" si="2"/>
        <v>4.8100378502260339</v>
      </c>
    </row>
    <row r="8" spans="1:17" ht="15" customHeight="1" x14ac:dyDescent="0.25">
      <c r="A8" t="s">
        <v>10</v>
      </c>
      <c r="B8" t="s">
        <v>11</v>
      </c>
      <c r="C8" s="1">
        <v>45482</v>
      </c>
      <c r="D8" s="4">
        <v>4.9400000000000004</v>
      </c>
      <c r="E8" s="4">
        <v>4.9400000000000004</v>
      </c>
      <c r="F8" s="4">
        <v>4.84</v>
      </c>
      <c r="G8" s="4">
        <v>4.91</v>
      </c>
      <c r="H8" s="4">
        <v>15162</v>
      </c>
      <c r="I8" s="4">
        <v>376.7</v>
      </c>
      <c r="J8" s="4">
        <v>76720810</v>
      </c>
      <c r="M8">
        <f t="shared" si="0"/>
        <v>12.42275462962963</v>
      </c>
      <c r="N8" s="5">
        <f t="shared" si="1"/>
        <v>0.11710794297352341</v>
      </c>
      <c r="O8" s="8">
        <f t="shared" si="2"/>
        <v>4.9100107259034411</v>
      </c>
    </row>
    <row r="9" spans="1:17" ht="15" customHeight="1" x14ac:dyDescent="0.25">
      <c r="A9" t="s">
        <v>10</v>
      </c>
      <c r="B9" t="s">
        <v>11</v>
      </c>
      <c r="C9" s="1">
        <v>45483</v>
      </c>
      <c r="D9" s="4">
        <v>4.9000000000000004</v>
      </c>
      <c r="E9" s="4">
        <v>4.92</v>
      </c>
      <c r="F9" s="4">
        <v>4.8099999999999996</v>
      </c>
      <c r="G9" s="4">
        <v>4.91</v>
      </c>
      <c r="H9" s="4">
        <v>36995</v>
      </c>
      <c r="I9" s="4">
        <v>376.7</v>
      </c>
      <c r="J9" s="4">
        <v>76720810</v>
      </c>
      <c r="M9">
        <f t="shared" si="0"/>
        <v>12.42275462962963</v>
      </c>
      <c r="N9" s="5">
        <f t="shared" si="1"/>
        <v>0.11710794297352341</v>
      </c>
      <c r="O9" s="8">
        <f t="shared" si="2"/>
        <v>4.9100107259034411</v>
      </c>
    </row>
    <row r="10" spans="1:17" ht="15" customHeight="1" x14ac:dyDescent="0.25">
      <c r="A10" t="s">
        <v>10</v>
      </c>
      <c r="B10" t="s">
        <v>11</v>
      </c>
      <c r="C10" s="1">
        <v>45484</v>
      </c>
      <c r="D10" s="4">
        <v>4.92</v>
      </c>
      <c r="E10" s="4">
        <v>5.01</v>
      </c>
      <c r="F10" s="4">
        <v>4.92</v>
      </c>
      <c r="G10" s="4">
        <v>5</v>
      </c>
      <c r="H10" s="4">
        <v>41394</v>
      </c>
      <c r="I10" s="4">
        <v>383.6</v>
      </c>
      <c r="J10" s="4">
        <v>76720810</v>
      </c>
      <c r="M10">
        <f t="shared" si="0"/>
        <v>12.650462962962962</v>
      </c>
      <c r="N10" s="5">
        <f t="shared" si="1"/>
        <v>0.11499999999999999</v>
      </c>
      <c r="O10" s="8">
        <f t="shared" si="2"/>
        <v>4.9999472111934171</v>
      </c>
    </row>
    <row r="11" spans="1:17" ht="15" customHeight="1" x14ac:dyDescent="0.25">
      <c r="A11" t="s">
        <v>10</v>
      </c>
      <c r="B11" t="s">
        <v>11</v>
      </c>
      <c r="C11" s="1">
        <v>45485</v>
      </c>
      <c r="D11" s="4">
        <v>4.99</v>
      </c>
      <c r="E11" s="4">
        <v>5.08</v>
      </c>
      <c r="F11" s="4">
        <v>4.99</v>
      </c>
      <c r="G11" s="4">
        <v>5.08</v>
      </c>
      <c r="H11" s="4">
        <v>57869</v>
      </c>
      <c r="I11" s="4">
        <v>389.74</v>
      </c>
      <c r="J11" s="4">
        <v>76720810</v>
      </c>
      <c r="M11">
        <f t="shared" si="0"/>
        <v>12.85287037037037</v>
      </c>
      <c r="N11" s="5">
        <f t="shared" si="1"/>
        <v>0.11318897637795275</v>
      </c>
      <c r="O11" s="8">
        <f t="shared" si="2"/>
        <v>5.0799776488282644</v>
      </c>
    </row>
    <row r="12" spans="1:17" ht="15" customHeight="1" x14ac:dyDescent="0.25">
      <c r="A12" t="s">
        <v>10</v>
      </c>
      <c r="B12" t="s">
        <v>11</v>
      </c>
      <c r="C12" s="1">
        <v>45488</v>
      </c>
      <c r="D12" s="4">
        <v>5.05</v>
      </c>
      <c r="E12" s="4">
        <v>5.05</v>
      </c>
      <c r="F12" s="4">
        <v>4.91</v>
      </c>
      <c r="G12" s="4">
        <v>4.95</v>
      </c>
      <c r="H12" s="4">
        <v>47698</v>
      </c>
      <c r="I12" s="4">
        <v>379.77</v>
      </c>
      <c r="J12" s="4">
        <v>76720810</v>
      </c>
      <c r="M12">
        <f t="shared" si="0"/>
        <v>12.523958333333333</v>
      </c>
      <c r="N12" s="5">
        <f t="shared" si="1"/>
        <v>0.11616161616161615</v>
      </c>
      <c r="O12" s="8">
        <f t="shared" si="2"/>
        <v>4.9500259447208652</v>
      </c>
    </row>
    <row r="13" spans="1:17" ht="15" customHeight="1" x14ac:dyDescent="0.25">
      <c r="A13" t="s">
        <v>10</v>
      </c>
      <c r="B13" t="s">
        <v>11</v>
      </c>
      <c r="C13" s="1">
        <v>45489</v>
      </c>
      <c r="D13" s="4">
        <v>5</v>
      </c>
      <c r="E13" s="4">
        <v>5.35</v>
      </c>
      <c r="F13" s="4">
        <v>5</v>
      </c>
      <c r="G13" s="4">
        <v>5.19</v>
      </c>
      <c r="H13" s="4">
        <v>138774</v>
      </c>
      <c r="I13" s="4">
        <v>398.18</v>
      </c>
      <c r="J13" s="4">
        <v>76720810</v>
      </c>
      <c r="M13">
        <f t="shared" si="0"/>
        <v>13.131180555555556</v>
      </c>
      <c r="N13" s="5">
        <f t="shared" si="1"/>
        <v>0.11078998073217725</v>
      </c>
      <c r="O13" s="8">
        <f t="shared" si="2"/>
        <v>5.1899869148931037</v>
      </c>
    </row>
    <row r="14" spans="1:17" ht="15" customHeight="1" x14ac:dyDescent="0.25">
      <c r="A14" t="s">
        <v>10</v>
      </c>
      <c r="B14" t="s">
        <v>11</v>
      </c>
      <c r="C14" s="1">
        <v>45490</v>
      </c>
      <c r="D14" s="4">
        <v>5.25</v>
      </c>
      <c r="E14" s="4">
        <v>5.39</v>
      </c>
      <c r="F14" s="4">
        <v>5.22</v>
      </c>
      <c r="G14" s="4">
        <v>5.38</v>
      </c>
      <c r="H14" s="4">
        <v>40205</v>
      </c>
      <c r="I14" s="4">
        <v>412.76</v>
      </c>
      <c r="J14" s="4">
        <v>76720810</v>
      </c>
      <c r="M14">
        <f t="shared" si="0"/>
        <v>13.611898148148148</v>
      </c>
      <c r="N14" s="5">
        <f t="shared" si="1"/>
        <v>0.10687732342007435</v>
      </c>
      <c r="O14" s="8">
        <f t="shared" si="2"/>
        <v>5.3800266185927912</v>
      </c>
    </row>
    <row r="15" spans="1:17" ht="15" customHeight="1" x14ac:dyDescent="0.25">
      <c r="A15" t="s">
        <v>10</v>
      </c>
      <c r="B15" t="s">
        <v>11</v>
      </c>
      <c r="C15" s="1">
        <v>45491</v>
      </c>
      <c r="D15" s="4">
        <v>5.36</v>
      </c>
      <c r="E15" s="4">
        <v>5.46</v>
      </c>
      <c r="F15" s="4">
        <v>5.23</v>
      </c>
      <c r="G15" s="4">
        <v>5.46</v>
      </c>
      <c r="H15" s="4">
        <v>173281</v>
      </c>
      <c r="I15" s="4">
        <v>418.9</v>
      </c>
      <c r="J15" s="4">
        <v>76720810</v>
      </c>
      <c r="M15">
        <f t="shared" si="0"/>
        <v>13.814305555555555</v>
      </c>
      <c r="N15" s="5">
        <f t="shared" si="1"/>
        <v>0.1053113553113553</v>
      </c>
      <c r="O15" s="8">
        <f t="shared" si="2"/>
        <v>5.4600570562276385</v>
      </c>
    </row>
    <row r="16" spans="1:17" ht="15" customHeight="1" x14ac:dyDescent="0.25">
      <c r="A16" t="s">
        <v>10</v>
      </c>
      <c r="B16" t="s">
        <v>11</v>
      </c>
      <c r="C16" s="1">
        <v>45492</v>
      </c>
      <c r="D16" s="4">
        <v>5.55</v>
      </c>
      <c r="E16" s="4">
        <v>5.89</v>
      </c>
      <c r="F16" s="4">
        <v>5.55</v>
      </c>
      <c r="G16" s="4">
        <v>5.75</v>
      </c>
      <c r="H16" s="4">
        <v>394313</v>
      </c>
      <c r="I16" s="4">
        <v>441.14</v>
      </c>
      <c r="J16" s="4">
        <v>76720810</v>
      </c>
      <c r="M16">
        <f t="shared" si="0"/>
        <v>14.548032407407407</v>
      </c>
      <c r="N16" s="5">
        <f t="shared" si="1"/>
        <v>9.9999999999999992E-2</v>
      </c>
      <c r="O16" s="8">
        <f t="shared" si="2"/>
        <v>5.7499392928724289</v>
      </c>
    </row>
    <row r="17" spans="1:15" ht="15" customHeight="1" x14ac:dyDescent="0.25">
      <c r="A17" t="s">
        <v>10</v>
      </c>
      <c r="B17" t="s">
        <v>11</v>
      </c>
      <c r="C17" s="1">
        <v>45495</v>
      </c>
      <c r="D17" s="4">
        <v>5.79</v>
      </c>
      <c r="E17" s="4">
        <v>5.89</v>
      </c>
      <c r="F17" s="4">
        <v>5.7</v>
      </c>
      <c r="G17" s="4">
        <v>5.77</v>
      </c>
      <c r="H17" s="4">
        <v>89619</v>
      </c>
      <c r="I17" s="4">
        <v>442.68</v>
      </c>
      <c r="J17" s="4">
        <v>76720810</v>
      </c>
      <c r="M17">
        <f t="shared" si="0"/>
        <v>14.598634259259258</v>
      </c>
      <c r="N17" s="5">
        <f t="shared" si="1"/>
        <v>9.965337954939342E-2</v>
      </c>
      <c r="O17" s="8">
        <f t="shared" si="2"/>
        <v>5.7700120736472931</v>
      </c>
    </row>
    <row r="18" spans="1:15" ht="15" customHeight="1" x14ac:dyDescent="0.25">
      <c r="A18" t="s">
        <v>10</v>
      </c>
      <c r="B18" t="s">
        <v>11</v>
      </c>
      <c r="C18" s="1">
        <v>45496</v>
      </c>
      <c r="D18" s="4">
        <v>5.85</v>
      </c>
      <c r="E18" s="4">
        <v>5.99</v>
      </c>
      <c r="F18" s="4">
        <v>5.85</v>
      </c>
      <c r="G18" s="4">
        <v>5.88</v>
      </c>
      <c r="H18" s="4">
        <v>103668</v>
      </c>
      <c r="I18" s="4">
        <v>451.12</v>
      </c>
      <c r="J18" s="4">
        <v>76720810</v>
      </c>
      <c r="M18">
        <f t="shared" si="0"/>
        <v>14.876944444444444</v>
      </c>
      <c r="N18" s="5">
        <f t="shared" si="1"/>
        <v>9.7789115646258501E-2</v>
      </c>
      <c r="O18" s="8">
        <f t="shared" si="2"/>
        <v>5.8800213397121333</v>
      </c>
    </row>
    <row r="19" spans="1:15" ht="15" customHeight="1" x14ac:dyDescent="0.25">
      <c r="A19" t="s">
        <v>10</v>
      </c>
      <c r="B19" t="s">
        <v>11</v>
      </c>
      <c r="C19" s="1">
        <v>45497</v>
      </c>
      <c r="D19" s="4">
        <v>5.92</v>
      </c>
      <c r="E19" s="4">
        <v>5.95</v>
      </c>
      <c r="F19" s="4">
        <v>5.86</v>
      </c>
      <c r="G19" s="4">
        <v>5.9</v>
      </c>
      <c r="H19" s="4">
        <v>66269</v>
      </c>
      <c r="I19" s="4">
        <v>452.65</v>
      </c>
      <c r="J19" s="4">
        <v>76720810</v>
      </c>
      <c r="M19">
        <f t="shared" si="0"/>
        <v>14.927546296296297</v>
      </c>
      <c r="N19" s="5">
        <f t="shared" si="1"/>
        <v>9.7457627118644058E-2</v>
      </c>
      <c r="O19" s="8">
        <f t="shared" si="2"/>
        <v>5.8999637777546923</v>
      </c>
    </row>
    <row r="20" spans="1:15" ht="15" customHeight="1" x14ac:dyDescent="0.25">
      <c r="A20" t="s">
        <v>10</v>
      </c>
      <c r="B20" t="s">
        <v>11</v>
      </c>
      <c r="C20" s="1">
        <v>45498</v>
      </c>
      <c r="D20" s="4">
        <v>5.85</v>
      </c>
      <c r="E20" s="4">
        <v>5.85</v>
      </c>
      <c r="F20" s="4">
        <v>5.74</v>
      </c>
      <c r="G20" s="4">
        <v>5.75</v>
      </c>
      <c r="H20" s="4">
        <v>64506</v>
      </c>
      <c r="I20" s="4">
        <v>441.14</v>
      </c>
      <c r="J20" s="4">
        <v>76720810</v>
      </c>
      <c r="M20">
        <f t="shared" si="0"/>
        <v>14.548032407407407</v>
      </c>
      <c r="N20" s="5">
        <f t="shared" si="1"/>
        <v>9.9999999999999992E-2</v>
      </c>
      <c r="O20" s="8">
        <f t="shared" si="2"/>
        <v>5.7499392928724289</v>
      </c>
    </row>
    <row r="21" spans="1:15" ht="15" customHeight="1" x14ac:dyDescent="0.25">
      <c r="A21" t="s">
        <v>10</v>
      </c>
      <c r="B21" t="s">
        <v>11</v>
      </c>
      <c r="C21" s="1">
        <v>45499</v>
      </c>
      <c r="D21" s="4">
        <v>5.72</v>
      </c>
      <c r="E21" s="4">
        <v>5.79</v>
      </c>
      <c r="F21" s="4">
        <v>5.65</v>
      </c>
      <c r="G21" s="4">
        <v>5.65</v>
      </c>
      <c r="H21" s="4">
        <v>44510</v>
      </c>
      <c r="I21" s="4">
        <v>433.47</v>
      </c>
      <c r="J21" s="4">
        <v>76720810</v>
      </c>
      <c r="M21">
        <f t="shared" si="0"/>
        <v>14.295023148148148</v>
      </c>
      <c r="N21" s="5">
        <f t="shared" si="1"/>
        <v>0.10176991150442477</v>
      </c>
      <c r="O21" s="8">
        <f t="shared" si="2"/>
        <v>5.6499664171950217</v>
      </c>
    </row>
    <row r="22" spans="1:15" ht="15" customHeight="1" x14ac:dyDescent="0.25">
      <c r="A22" t="s">
        <v>10</v>
      </c>
      <c r="B22" t="s">
        <v>11</v>
      </c>
      <c r="C22" s="1">
        <v>45502</v>
      </c>
      <c r="D22" s="4">
        <v>5.79</v>
      </c>
      <c r="E22" s="4">
        <v>5.82</v>
      </c>
      <c r="F22" s="4">
        <v>5.75</v>
      </c>
      <c r="G22" s="4">
        <v>5.8</v>
      </c>
      <c r="H22" s="4">
        <v>55839</v>
      </c>
      <c r="I22" s="4">
        <v>444.98</v>
      </c>
      <c r="J22" s="4">
        <v>76720810</v>
      </c>
      <c r="M22">
        <f t="shared" si="0"/>
        <v>14.674537037037036</v>
      </c>
      <c r="N22" s="5">
        <f t="shared" si="1"/>
        <v>9.9137931034482749E-2</v>
      </c>
      <c r="O22" s="8">
        <f t="shared" si="2"/>
        <v>5.7999909020772851</v>
      </c>
    </row>
    <row r="23" spans="1:15" ht="15" customHeight="1" x14ac:dyDescent="0.25">
      <c r="A23" t="s">
        <v>10</v>
      </c>
      <c r="B23" t="s">
        <v>11</v>
      </c>
      <c r="C23" s="1">
        <v>45503</v>
      </c>
      <c r="D23" s="4">
        <v>5.8</v>
      </c>
      <c r="E23" s="4">
        <v>5.85</v>
      </c>
      <c r="F23" s="4">
        <v>5.71</v>
      </c>
      <c r="G23" s="4">
        <v>5.75</v>
      </c>
      <c r="H23" s="4">
        <v>52504</v>
      </c>
      <c r="I23" s="4">
        <v>441.14</v>
      </c>
      <c r="J23" s="4">
        <v>76720810</v>
      </c>
      <c r="M23">
        <f t="shared" si="0"/>
        <v>14.548032407407407</v>
      </c>
      <c r="N23" s="5">
        <f t="shared" si="1"/>
        <v>9.9999999999999992E-2</v>
      </c>
      <c r="O23" s="8">
        <f t="shared" si="2"/>
        <v>5.7499392928724289</v>
      </c>
    </row>
    <row r="24" spans="1:15" ht="15" customHeight="1" x14ac:dyDescent="0.25">
      <c r="A24" t="s">
        <v>10</v>
      </c>
      <c r="B24" t="s">
        <v>11</v>
      </c>
      <c r="C24" s="1">
        <v>45504</v>
      </c>
      <c r="D24" s="4">
        <v>5.82</v>
      </c>
      <c r="E24" s="4">
        <v>6.02</v>
      </c>
      <c r="F24" s="4">
        <v>5.77</v>
      </c>
      <c r="G24" s="4">
        <v>5.82</v>
      </c>
      <c r="H24" s="4">
        <v>85728</v>
      </c>
      <c r="I24" s="4">
        <v>446.52</v>
      </c>
      <c r="J24" s="4">
        <v>76720810</v>
      </c>
      <c r="M24">
        <f t="shared" si="0"/>
        <v>14.725138888888889</v>
      </c>
      <c r="N24" s="5">
        <f t="shared" si="1"/>
        <v>9.8797250859106511E-2</v>
      </c>
      <c r="O24" s="8">
        <f t="shared" si="2"/>
        <v>5.8200636828521493</v>
      </c>
    </row>
    <row r="25" spans="1:15" ht="15" customHeight="1" x14ac:dyDescent="0.25">
      <c r="A25" t="s">
        <v>10</v>
      </c>
      <c r="B25" t="s">
        <v>11</v>
      </c>
      <c r="C25" s="1">
        <v>45505</v>
      </c>
      <c r="D25" s="4">
        <v>6</v>
      </c>
      <c r="E25" s="4">
        <v>6.13</v>
      </c>
      <c r="F25" s="4">
        <v>5.98</v>
      </c>
      <c r="G25" s="4">
        <v>6.03</v>
      </c>
      <c r="H25" s="4">
        <v>50864</v>
      </c>
      <c r="I25" s="4">
        <v>462.63</v>
      </c>
      <c r="J25" s="4">
        <v>76720810</v>
      </c>
      <c r="M25">
        <f t="shared" si="0"/>
        <v>15.256458333333333</v>
      </c>
      <c r="N25" s="5">
        <f t="shared" si="1"/>
        <v>9.535655058043116E-2</v>
      </c>
      <c r="O25" s="8">
        <f t="shared" si="2"/>
        <v>6.0300458245943966</v>
      </c>
    </row>
    <row r="26" spans="1:15" ht="15" customHeight="1" x14ac:dyDescent="0.25">
      <c r="A26" t="s">
        <v>10</v>
      </c>
      <c r="B26" t="s">
        <v>11</v>
      </c>
      <c r="C26" s="1">
        <v>45506</v>
      </c>
      <c r="D26" s="4">
        <v>5.98</v>
      </c>
      <c r="E26" s="4">
        <v>6</v>
      </c>
      <c r="F26" s="4">
        <v>5.82</v>
      </c>
      <c r="G26" s="4">
        <v>5.99</v>
      </c>
      <c r="H26" s="4">
        <v>121151</v>
      </c>
      <c r="I26" s="4">
        <v>459.56</v>
      </c>
      <c r="J26" s="4">
        <v>76720810</v>
      </c>
      <c r="M26">
        <f t="shared" si="0"/>
        <v>15.15525462962963</v>
      </c>
      <c r="N26" s="5">
        <f t="shared" si="1"/>
        <v>9.5993322203672779E-2</v>
      </c>
      <c r="O26" s="8">
        <f t="shared" si="2"/>
        <v>5.9900306057769725</v>
      </c>
    </row>
    <row r="27" spans="1:15" ht="15" customHeight="1" x14ac:dyDescent="0.25">
      <c r="A27" t="s">
        <v>10</v>
      </c>
      <c r="B27" t="s">
        <v>11</v>
      </c>
      <c r="C27" s="1">
        <v>45509</v>
      </c>
      <c r="D27" s="4">
        <v>5.9</v>
      </c>
      <c r="E27" s="4">
        <v>5.9</v>
      </c>
      <c r="F27" s="4">
        <v>5.65</v>
      </c>
      <c r="G27" s="4">
        <v>5.65</v>
      </c>
      <c r="H27" s="4">
        <v>145384</v>
      </c>
      <c r="I27" s="4">
        <v>433.47</v>
      </c>
      <c r="J27" s="4">
        <v>76720810</v>
      </c>
      <c r="M27">
        <f t="shared" si="0"/>
        <v>14.295023148148148</v>
      </c>
      <c r="N27" s="5">
        <f t="shared" si="1"/>
        <v>0.10176991150442477</v>
      </c>
      <c r="O27" s="8">
        <f t="shared" si="2"/>
        <v>5.6499664171950217</v>
      </c>
    </row>
    <row r="28" spans="1:15" ht="15" customHeight="1" x14ac:dyDescent="0.25">
      <c r="A28" t="s">
        <v>10</v>
      </c>
      <c r="B28" t="s">
        <v>11</v>
      </c>
      <c r="C28" s="1">
        <v>45510</v>
      </c>
      <c r="D28" s="4">
        <v>5.65</v>
      </c>
      <c r="E28" s="4">
        <v>5.93</v>
      </c>
      <c r="F28" s="4">
        <v>5.65</v>
      </c>
      <c r="G28" s="4">
        <v>5.85</v>
      </c>
      <c r="H28" s="4">
        <v>37979</v>
      </c>
      <c r="I28" s="4">
        <v>448.82</v>
      </c>
      <c r="J28" s="4">
        <v>76720810</v>
      </c>
      <c r="M28">
        <f t="shared" si="0"/>
        <v>14.801041666666665</v>
      </c>
      <c r="N28" s="5">
        <f t="shared" si="1"/>
        <v>9.8290598290598288E-2</v>
      </c>
      <c r="O28" s="8">
        <f t="shared" si="2"/>
        <v>5.8500425112821413</v>
      </c>
    </row>
    <row r="29" spans="1:15" ht="15" customHeight="1" x14ac:dyDescent="0.25">
      <c r="A29" t="s">
        <v>10</v>
      </c>
      <c r="B29" t="s">
        <v>11</v>
      </c>
      <c r="C29" s="1">
        <v>45511</v>
      </c>
      <c r="D29" s="4">
        <v>5.84</v>
      </c>
      <c r="E29" s="4">
        <v>5.98</v>
      </c>
      <c r="F29" s="4">
        <v>5.84</v>
      </c>
      <c r="G29" s="4">
        <v>5.94</v>
      </c>
      <c r="H29" s="4">
        <v>66225</v>
      </c>
      <c r="I29" s="4">
        <v>455.72</v>
      </c>
      <c r="J29" s="4">
        <v>76720810</v>
      </c>
      <c r="M29">
        <f t="shared" si="0"/>
        <v>15.02875</v>
      </c>
      <c r="N29" s="5">
        <f t="shared" si="1"/>
        <v>9.6801346801346791E-2</v>
      </c>
      <c r="O29" s="8">
        <f t="shared" si="2"/>
        <v>5.9399789965721164</v>
      </c>
    </row>
    <row r="30" spans="1:15" ht="15" customHeight="1" x14ac:dyDescent="0.25">
      <c r="A30" t="s">
        <v>10</v>
      </c>
      <c r="B30" t="s">
        <v>11</v>
      </c>
      <c r="C30" s="1">
        <v>45512</v>
      </c>
      <c r="D30" s="4">
        <v>5.93</v>
      </c>
      <c r="E30" s="4">
        <v>5.93</v>
      </c>
      <c r="F30" s="4">
        <v>5.82</v>
      </c>
      <c r="G30" s="4">
        <v>5.82</v>
      </c>
      <c r="H30" s="4">
        <v>33109</v>
      </c>
      <c r="I30" s="4">
        <v>446.52</v>
      </c>
      <c r="J30" s="4">
        <v>76720810</v>
      </c>
      <c r="M30">
        <f t="shared" si="0"/>
        <v>14.725138888888889</v>
      </c>
      <c r="N30" s="5">
        <f t="shared" si="1"/>
        <v>9.8797250859106511E-2</v>
      </c>
      <c r="O30" s="8">
        <f t="shared" si="2"/>
        <v>5.8200636828521493</v>
      </c>
    </row>
    <row r="31" spans="1:15" ht="15" customHeight="1" x14ac:dyDescent="0.25">
      <c r="A31" t="s">
        <v>10</v>
      </c>
      <c r="B31" t="s">
        <v>11</v>
      </c>
      <c r="C31" s="1">
        <v>45513</v>
      </c>
      <c r="D31" s="4">
        <v>5.82</v>
      </c>
      <c r="E31" s="4">
        <v>5.91</v>
      </c>
      <c r="F31" s="4">
        <v>5.82</v>
      </c>
      <c r="G31" s="4">
        <v>5.89</v>
      </c>
      <c r="H31" s="4">
        <v>71680</v>
      </c>
      <c r="I31" s="4">
        <v>451.89</v>
      </c>
      <c r="J31" s="4">
        <v>76720810</v>
      </c>
      <c r="M31">
        <f t="shared" si="0"/>
        <v>14.90224537037037</v>
      </c>
      <c r="N31" s="5">
        <f t="shared" si="1"/>
        <v>9.7623089983022063E-2</v>
      </c>
      <c r="O31" s="8">
        <f t="shared" si="2"/>
        <v>5.8900577300995645</v>
      </c>
    </row>
    <row r="32" spans="1:15" ht="15" customHeight="1" x14ac:dyDescent="0.25">
      <c r="A32" t="s">
        <v>10</v>
      </c>
      <c r="B32" t="s">
        <v>11</v>
      </c>
      <c r="C32" s="1">
        <v>45516</v>
      </c>
      <c r="D32" s="4">
        <v>5.85</v>
      </c>
      <c r="E32" s="4">
        <v>6.08</v>
      </c>
      <c r="F32" s="4">
        <v>5.85</v>
      </c>
      <c r="G32" s="4">
        <v>6.01</v>
      </c>
      <c r="H32" s="4">
        <v>110555</v>
      </c>
      <c r="I32" s="4">
        <v>461.09</v>
      </c>
      <c r="J32" s="4">
        <v>76720810</v>
      </c>
      <c r="M32">
        <f t="shared" si="0"/>
        <v>15.205856481481479</v>
      </c>
      <c r="N32" s="5">
        <f t="shared" si="1"/>
        <v>9.5673876871880198E-2</v>
      </c>
      <c r="O32" s="8">
        <f t="shared" si="2"/>
        <v>6.0099730438195325</v>
      </c>
    </row>
    <row r="33" spans="1:15" ht="15" customHeight="1" x14ac:dyDescent="0.25">
      <c r="A33" t="s">
        <v>10</v>
      </c>
      <c r="B33" t="s">
        <v>11</v>
      </c>
      <c r="C33" s="1">
        <v>45517</v>
      </c>
      <c r="D33" s="4">
        <v>6.05</v>
      </c>
      <c r="E33" s="4">
        <v>6.26</v>
      </c>
      <c r="F33" s="4">
        <v>6.05</v>
      </c>
      <c r="G33" s="4">
        <v>6.15</v>
      </c>
      <c r="H33" s="4">
        <v>61893</v>
      </c>
      <c r="I33" s="4">
        <v>471.83</v>
      </c>
      <c r="J33" s="4">
        <v>76720810</v>
      </c>
      <c r="M33">
        <f t="shared" si="0"/>
        <v>15.560069444444444</v>
      </c>
      <c r="N33" s="5">
        <f t="shared" si="1"/>
        <v>9.3495934959349575E-2</v>
      </c>
      <c r="O33" s="8">
        <f t="shared" si="2"/>
        <v>6.1499611383143638</v>
      </c>
    </row>
    <row r="34" spans="1:15" ht="15" customHeight="1" x14ac:dyDescent="0.25">
      <c r="A34" t="s">
        <v>10</v>
      </c>
      <c r="B34" t="s">
        <v>11</v>
      </c>
      <c r="C34" s="1">
        <v>45518</v>
      </c>
      <c r="D34" s="4">
        <v>6.18</v>
      </c>
      <c r="E34" s="4">
        <v>6.22</v>
      </c>
      <c r="F34" s="4">
        <v>6.04</v>
      </c>
      <c r="G34" s="4">
        <v>6.09</v>
      </c>
      <c r="H34" s="4">
        <v>90945</v>
      </c>
      <c r="I34" s="4">
        <v>467.23</v>
      </c>
      <c r="J34" s="4">
        <v>76720810</v>
      </c>
      <c r="M34">
        <f t="shared" si="0"/>
        <v>15.408263888888888</v>
      </c>
      <c r="N34" s="5">
        <f t="shared" si="1"/>
        <v>9.4417077175697861E-2</v>
      </c>
      <c r="O34" s="8">
        <f t="shared" si="2"/>
        <v>6.0900034814543798</v>
      </c>
    </row>
    <row r="35" spans="1:15" ht="15" customHeight="1" x14ac:dyDescent="0.25">
      <c r="A35" t="s">
        <v>10</v>
      </c>
      <c r="B35" t="s">
        <v>11</v>
      </c>
      <c r="C35" s="1">
        <v>45519</v>
      </c>
      <c r="D35" s="4">
        <v>6.13</v>
      </c>
      <c r="E35" s="4">
        <v>6.13</v>
      </c>
      <c r="F35" s="4">
        <v>6.05</v>
      </c>
      <c r="G35" s="4">
        <v>6.1</v>
      </c>
      <c r="H35" s="4">
        <v>64892</v>
      </c>
      <c r="I35" s="4">
        <v>468</v>
      </c>
      <c r="J35" s="4">
        <v>76720810</v>
      </c>
      <c r="M35">
        <f t="shared" si="0"/>
        <v>15.433564814814813</v>
      </c>
      <c r="N35" s="5">
        <f t="shared" si="1"/>
        <v>9.4262295081967207E-2</v>
      </c>
      <c r="O35" s="8">
        <f t="shared" si="2"/>
        <v>6.1000398718418118</v>
      </c>
    </row>
    <row r="36" spans="1:15" ht="15" customHeight="1" x14ac:dyDescent="0.25">
      <c r="A36" t="s">
        <v>10</v>
      </c>
      <c r="B36" t="s">
        <v>11</v>
      </c>
      <c r="C36" s="1">
        <v>45520</v>
      </c>
      <c r="D36" s="4">
        <v>6.09</v>
      </c>
      <c r="E36" s="4">
        <v>6.23</v>
      </c>
      <c r="F36" s="4">
        <v>6.04</v>
      </c>
      <c r="G36" s="4">
        <v>6.1</v>
      </c>
      <c r="H36" s="4">
        <v>90822</v>
      </c>
      <c r="I36" s="4">
        <v>468</v>
      </c>
      <c r="J36" s="4">
        <v>76720810</v>
      </c>
      <c r="M36">
        <f t="shared" si="0"/>
        <v>15.433564814814813</v>
      </c>
      <c r="N36" s="5">
        <f t="shared" si="1"/>
        <v>9.4262295081967207E-2</v>
      </c>
      <c r="O36" s="8">
        <f t="shared" si="2"/>
        <v>6.1000398718418118</v>
      </c>
    </row>
    <row r="37" spans="1:15" ht="15" customHeight="1" x14ac:dyDescent="0.25">
      <c r="A37" t="s">
        <v>10</v>
      </c>
      <c r="B37" t="s">
        <v>11</v>
      </c>
      <c r="C37" s="1">
        <v>45523</v>
      </c>
      <c r="D37" s="4">
        <v>6.21</v>
      </c>
      <c r="E37" s="4">
        <v>6.35</v>
      </c>
      <c r="F37" s="4">
        <v>6.07</v>
      </c>
      <c r="G37" s="4">
        <v>6.07</v>
      </c>
      <c r="H37" s="4">
        <v>164532</v>
      </c>
      <c r="I37" s="4">
        <v>465.7</v>
      </c>
      <c r="J37" s="4">
        <v>76720810</v>
      </c>
      <c r="M37">
        <f t="shared" si="0"/>
        <v>15.357662037037038</v>
      </c>
      <c r="N37" s="5">
        <f t="shared" si="1"/>
        <v>9.4728171334431621E-2</v>
      </c>
      <c r="O37" s="8">
        <f t="shared" si="2"/>
        <v>6.0700610434118198</v>
      </c>
    </row>
    <row r="38" spans="1:15" ht="15" customHeight="1" x14ac:dyDescent="0.25">
      <c r="A38" t="s">
        <v>10</v>
      </c>
      <c r="B38" t="s">
        <v>11</v>
      </c>
      <c r="C38" s="1">
        <v>45524</v>
      </c>
      <c r="D38" s="4">
        <v>6.08</v>
      </c>
      <c r="E38" s="4">
        <v>6.48</v>
      </c>
      <c r="F38" s="4">
        <v>6.08</v>
      </c>
      <c r="G38" s="4">
        <v>6.42</v>
      </c>
      <c r="H38" s="4">
        <v>47907</v>
      </c>
      <c r="I38" s="4">
        <v>492.55</v>
      </c>
      <c r="J38" s="4">
        <v>76720810</v>
      </c>
      <c r="M38">
        <f t="shared" si="0"/>
        <v>16.243194444444445</v>
      </c>
      <c r="N38" s="5">
        <f t="shared" si="1"/>
        <v>8.9563862928348906E-2</v>
      </c>
      <c r="O38" s="8">
        <f t="shared" si="2"/>
        <v>6.4200312796488985</v>
      </c>
    </row>
    <row r="39" spans="1:15" ht="15" customHeight="1" x14ac:dyDescent="0.25">
      <c r="A39" t="s">
        <v>10</v>
      </c>
      <c r="B39" t="s">
        <v>11</v>
      </c>
      <c r="C39" s="1">
        <v>45525</v>
      </c>
      <c r="D39" s="4">
        <v>6.4</v>
      </c>
      <c r="E39" s="4">
        <v>6.4</v>
      </c>
      <c r="F39" s="4">
        <v>6.3049999999999997</v>
      </c>
      <c r="G39" s="4">
        <v>6.34</v>
      </c>
      <c r="H39" s="4">
        <v>55763</v>
      </c>
      <c r="I39" s="4">
        <v>486.41</v>
      </c>
      <c r="J39" s="4">
        <v>76720810</v>
      </c>
      <c r="M39">
        <f t="shared" si="0"/>
        <v>16.040787037037035</v>
      </c>
      <c r="N39" s="5">
        <f t="shared" si="1"/>
        <v>9.0694006309148256E-2</v>
      </c>
      <c r="O39" s="8">
        <f t="shared" si="2"/>
        <v>6.3400008420140503</v>
      </c>
    </row>
    <row r="40" spans="1:15" ht="15" customHeight="1" x14ac:dyDescent="0.25">
      <c r="A40" t="s">
        <v>10</v>
      </c>
      <c r="B40" t="s">
        <v>11</v>
      </c>
      <c r="C40" s="1">
        <v>45526</v>
      </c>
      <c r="D40" s="4">
        <v>6.71</v>
      </c>
      <c r="E40" s="4">
        <v>7.99</v>
      </c>
      <c r="F40" s="4">
        <v>6.71</v>
      </c>
      <c r="G40" s="4">
        <v>7.05</v>
      </c>
      <c r="H40" s="4">
        <v>327244</v>
      </c>
      <c r="I40" s="4">
        <v>540.88</v>
      </c>
      <c r="J40" s="4">
        <v>76720810</v>
      </c>
      <c r="M40">
        <f t="shared" si="0"/>
        <v>17.837152777777778</v>
      </c>
      <c r="N40" s="5">
        <f t="shared" si="1"/>
        <v>8.1560283687943255E-2</v>
      </c>
      <c r="O40" s="8">
        <f t="shared" si="2"/>
        <v>7.0499777048756389</v>
      </c>
    </row>
    <row r="41" spans="1:15" ht="15" customHeight="1" x14ac:dyDescent="0.25">
      <c r="A41" t="s">
        <v>10</v>
      </c>
      <c r="B41" t="s">
        <v>11</v>
      </c>
      <c r="C41" s="1">
        <v>45527</v>
      </c>
      <c r="D41" s="4">
        <v>7.1</v>
      </c>
      <c r="E41" s="4">
        <v>7.3</v>
      </c>
      <c r="F41" s="4">
        <v>6.88</v>
      </c>
      <c r="G41" s="4">
        <v>6.88</v>
      </c>
      <c r="H41" s="4">
        <v>1763867</v>
      </c>
      <c r="I41" s="4">
        <v>527.84</v>
      </c>
      <c r="J41" s="4">
        <v>76720810</v>
      </c>
      <c r="M41">
        <f t="shared" si="0"/>
        <v>17.407037037037036</v>
      </c>
      <c r="N41" s="5">
        <f t="shared" si="1"/>
        <v>8.3575581395348833E-2</v>
      </c>
      <c r="O41" s="8">
        <f t="shared" si="2"/>
        <v>6.8800107819508174</v>
      </c>
    </row>
    <row r="42" spans="1:15" ht="15" customHeight="1" x14ac:dyDescent="0.25">
      <c r="A42" t="s">
        <v>10</v>
      </c>
      <c r="B42" t="s">
        <v>11</v>
      </c>
      <c r="C42" s="1">
        <v>45530</v>
      </c>
      <c r="D42" s="4">
        <v>7.03</v>
      </c>
      <c r="E42" s="4">
        <v>7.05</v>
      </c>
      <c r="F42" s="4">
        <v>6.92</v>
      </c>
      <c r="G42" s="4">
        <v>7</v>
      </c>
      <c r="H42" s="4">
        <v>82771</v>
      </c>
      <c r="I42" s="4">
        <v>537.04999999999995</v>
      </c>
      <c r="J42" s="4">
        <v>76720810</v>
      </c>
      <c r="M42">
        <f t="shared" si="0"/>
        <v>17.710648148148149</v>
      </c>
      <c r="N42" s="5">
        <f t="shared" si="1"/>
        <v>8.2142857142857142E-2</v>
      </c>
      <c r="O42" s="8">
        <f t="shared" si="2"/>
        <v>7.0000564384030879</v>
      </c>
    </row>
    <row r="43" spans="1:15" ht="15" customHeight="1" x14ac:dyDescent="0.25">
      <c r="A43" t="s">
        <v>10</v>
      </c>
      <c r="B43" t="s">
        <v>11</v>
      </c>
      <c r="C43" s="1">
        <v>45531</v>
      </c>
      <c r="D43" s="4">
        <v>7.01</v>
      </c>
      <c r="E43" s="4">
        <v>7.09</v>
      </c>
      <c r="F43" s="4">
        <v>6.95</v>
      </c>
      <c r="G43" s="4">
        <v>7</v>
      </c>
      <c r="H43" s="4">
        <v>57275</v>
      </c>
      <c r="I43" s="4">
        <v>537.04999999999995</v>
      </c>
      <c r="J43" s="4">
        <v>76720810</v>
      </c>
      <c r="M43">
        <f t="shared" si="0"/>
        <v>17.710648148148149</v>
      </c>
      <c r="N43" s="5">
        <f t="shared" si="1"/>
        <v>8.2142857142857142E-2</v>
      </c>
      <c r="O43" s="8">
        <f t="shared" si="2"/>
        <v>7.0000564384030879</v>
      </c>
    </row>
    <row r="44" spans="1:15" ht="15" customHeight="1" x14ac:dyDescent="0.25">
      <c r="A44" t="s">
        <v>10</v>
      </c>
      <c r="B44" t="s">
        <v>11</v>
      </c>
      <c r="C44" s="1">
        <v>45532</v>
      </c>
      <c r="D44" s="4">
        <v>7.01</v>
      </c>
      <c r="E44" s="4">
        <v>7.05</v>
      </c>
      <c r="F44" s="4">
        <v>6.95</v>
      </c>
      <c r="G44" s="4">
        <v>6.99</v>
      </c>
      <c r="H44" s="4">
        <v>100608</v>
      </c>
      <c r="I44" s="4">
        <v>536.28</v>
      </c>
      <c r="J44" s="4">
        <v>76720810</v>
      </c>
      <c r="M44">
        <f t="shared" si="0"/>
        <v>17.685347222222223</v>
      </c>
      <c r="N44" s="5">
        <f t="shared" si="1"/>
        <v>8.2260371959942763E-2</v>
      </c>
      <c r="O44" s="8">
        <f t="shared" si="2"/>
        <v>6.9900200480156558</v>
      </c>
    </row>
    <row r="45" spans="1:15" ht="15" customHeight="1" x14ac:dyDescent="0.25">
      <c r="A45" t="s">
        <v>10</v>
      </c>
      <c r="B45" t="s">
        <v>11</v>
      </c>
      <c r="C45" s="1">
        <v>45533</v>
      </c>
      <c r="D45" s="4">
        <v>6.95</v>
      </c>
      <c r="E45" s="4">
        <v>7</v>
      </c>
      <c r="F45" s="4">
        <v>6.82</v>
      </c>
      <c r="G45" s="4">
        <v>6.88</v>
      </c>
      <c r="H45" s="4">
        <v>122423</v>
      </c>
      <c r="I45" s="4">
        <v>527.84</v>
      </c>
      <c r="J45" s="4">
        <v>76720810</v>
      </c>
      <c r="M45">
        <f t="shared" si="0"/>
        <v>17.407037037037036</v>
      </c>
      <c r="N45" s="5">
        <f t="shared" si="1"/>
        <v>8.3575581395348833E-2</v>
      </c>
      <c r="O45" s="8">
        <f t="shared" si="2"/>
        <v>6.8800107819508174</v>
      </c>
    </row>
    <row r="46" spans="1:15" ht="15" customHeight="1" x14ac:dyDescent="0.25">
      <c r="A46" t="s">
        <v>10</v>
      </c>
      <c r="B46" t="s">
        <v>11</v>
      </c>
      <c r="C46" s="1">
        <v>45534</v>
      </c>
      <c r="D46" s="4">
        <v>6.95</v>
      </c>
      <c r="E46" s="4">
        <v>7.08</v>
      </c>
      <c r="F46" s="4">
        <v>6.85</v>
      </c>
      <c r="G46" s="4">
        <v>6.94</v>
      </c>
      <c r="H46" s="4">
        <v>59855</v>
      </c>
      <c r="I46" s="4">
        <v>532.44000000000005</v>
      </c>
      <c r="J46" s="4">
        <v>76720810</v>
      </c>
      <c r="M46">
        <f t="shared" si="0"/>
        <v>17.558842592592594</v>
      </c>
      <c r="N46" s="5">
        <f t="shared" si="1"/>
        <v>8.2853025936599406E-2</v>
      </c>
      <c r="O46" s="8">
        <f t="shared" si="2"/>
        <v>6.9399684388108005</v>
      </c>
    </row>
    <row r="47" spans="1:15" ht="15" customHeight="1" x14ac:dyDescent="0.25">
      <c r="A47" t="s">
        <v>10</v>
      </c>
      <c r="B47" t="s">
        <v>11</v>
      </c>
      <c r="C47" s="1">
        <v>45537</v>
      </c>
      <c r="D47" s="4">
        <v>6.94</v>
      </c>
      <c r="E47" s="4">
        <v>7</v>
      </c>
      <c r="F47" s="4">
        <v>6.83</v>
      </c>
      <c r="G47" s="4">
        <v>7</v>
      </c>
      <c r="H47" s="4">
        <v>230900</v>
      </c>
      <c r="I47" s="4">
        <v>537.04999999999995</v>
      </c>
      <c r="J47" s="4">
        <v>76720810</v>
      </c>
      <c r="M47">
        <f t="shared" si="0"/>
        <v>17.710648148148149</v>
      </c>
      <c r="N47" s="5">
        <f t="shared" si="1"/>
        <v>8.2142857142857142E-2</v>
      </c>
      <c r="O47" s="8">
        <f t="shared" si="2"/>
        <v>7.0000564384030879</v>
      </c>
    </row>
    <row r="48" spans="1:15" ht="15" customHeight="1" x14ac:dyDescent="0.25">
      <c r="A48" t="s">
        <v>10</v>
      </c>
      <c r="B48" t="s">
        <v>11</v>
      </c>
      <c r="C48" s="1">
        <v>45538</v>
      </c>
      <c r="D48" s="4">
        <v>7.02</v>
      </c>
      <c r="E48" s="4">
        <v>7.08</v>
      </c>
      <c r="F48" s="4">
        <v>6.91</v>
      </c>
      <c r="G48" s="4">
        <v>6.98</v>
      </c>
      <c r="H48" s="4">
        <v>90570</v>
      </c>
      <c r="I48" s="4">
        <v>535.51</v>
      </c>
      <c r="J48" s="4">
        <v>76720810</v>
      </c>
      <c r="M48">
        <f t="shared" si="0"/>
        <v>17.660046296296297</v>
      </c>
      <c r="N48" s="5">
        <f t="shared" si="1"/>
        <v>8.2378223495701994E-2</v>
      </c>
      <c r="O48" s="8">
        <f t="shared" si="2"/>
        <v>6.9799836576282237</v>
      </c>
    </row>
    <row r="49" spans="1:15" ht="15" customHeight="1" x14ac:dyDescent="0.25">
      <c r="A49" t="s">
        <v>10</v>
      </c>
      <c r="B49" t="s">
        <v>11</v>
      </c>
      <c r="C49" s="1">
        <v>45539</v>
      </c>
      <c r="D49" s="4">
        <v>6.89</v>
      </c>
      <c r="E49" s="4">
        <v>6.8949999999999996</v>
      </c>
      <c r="F49" s="4">
        <v>6.7</v>
      </c>
      <c r="G49" s="4">
        <v>6.82</v>
      </c>
      <c r="H49" s="4">
        <v>91262</v>
      </c>
      <c r="I49" s="4">
        <v>523.24</v>
      </c>
      <c r="J49" s="4">
        <v>76720810</v>
      </c>
      <c r="M49">
        <f t="shared" si="0"/>
        <v>17.255231481481481</v>
      </c>
      <c r="N49" s="5">
        <f t="shared" si="1"/>
        <v>8.4310850439882692E-2</v>
      </c>
      <c r="O49" s="8">
        <f t="shared" si="2"/>
        <v>6.8200531250908325</v>
      </c>
    </row>
    <row r="50" spans="1:15" ht="15" customHeight="1" x14ac:dyDescent="0.25">
      <c r="A50" t="s">
        <v>10</v>
      </c>
      <c r="B50" t="s">
        <v>11</v>
      </c>
      <c r="C50" s="1">
        <v>45540</v>
      </c>
      <c r="D50" s="4">
        <v>6.87</v>
      </c>
      <c r="E50" s="4">
        <v>7.01</v>
      </c>
      <c r="F50" s="4">
        <v>6.76</v>
      </c>
      <c r="G50" s="4">
        <v>6.78</v>
      </c>
      <c r="H50" s="4">
        <v>104583</v>
      </c>
      <c r="I50" s="4">
        <v>520.16999999999996</v>
      </c>
      <c r="J50" s="4">
        <v>76720810</v>
      </c>
      <c r="M50">
        <f t="shared" si="0"/>
        <v>17.154027777777777</v>
      </c>
      <c r="N50" s="5">
        <f t="shared" si="1"/>
        <v>8.4808259587020637E-2</v>
      </c>
      <c r="O50" s="8">
        <f t="shared" si="2"/>
        <v>6.7800379062734075</v>
      </c>
    </row>
    <row r="51" spans="1:15" ht="15" customHeight="1" x14ac:dyDescent="0.25">
      <c r="A51" t="s">
        <v>10</v>
      </c>
      <c r="B51" t="s">
        <v>11</v>
      </c>
      <c r="C51" s="1">
        <v>45541</v>
      </c>
      <c r="D51" s="4">
        <v>6.84</v>
      </c>
      <c r="E51" s="4">
        <v>6.9</v>
      </c>
      <c r="F51" s="4">
        <v>6.81</v>
      </c>
      <c r="G51" s="4">
        <v>6.85</v>
      </c>
      <c r="H51" s="4">
        <v>108533</v>
      </c>
      <c r="I51" s="4">
        <v>525.54</v>
      </c>
      <c r="J51" s="4">
        <v>76720810</v>
      </c>
      <c r="M51">
        <f t="shared" si="0"/>
        <v>17.331134259259258</v>
      </c>
      <c r="N51" s="5">
        <f t="shared" si="1"/>
        <v>8.3941605839416053E-2</v>
      </c>
      <c r="O51" s="8">
        <f t="shared" si="2"/>
        <v>6.8500319535208236</v>
      </c>
    </row>
    <row r="52" spans="1:15" ht="15" customHeight="1" x14ac:dyDescent="0.25">
      <c r="A52" t="s">
        <v>10</v>
      </c>
      <c r="B52" t="s">
        <v>11</v>
      </c>
      <c r="C52" s="1">
        <v>45544</v>
      </c>
      <c r="D52" s="4">
        <v>6.79</v>
      </c>
      <c r="E52" s="4">
        <v>6.79</v>
      </c>
      <c r="F52" s="4">
        <v>6.67</v>
      </c>
      <c r="G52" s="4">
        <v>6.72</v>
      </c>
      <c r="H52" s="4">
        <v>76452</v>
      </c>
      <c r="I52" s="4">
        <v>515.55999999999995</v>
      </c>
      <c r="J52" s="4">
        <v>76720810</v>
      </c>
      <c r="M52">
        <f t="shared" si="0"/>
        <v>17.002222222222223</v>
      </c>
      <c r="N52" s="5">
        <f t="shared" si="1"/>
        <v>8.5565476190476192E-2</v>
      </c>
      <c r="O52" s="8">
        <f t="shared" si="2"/>
        <v>6.7199499066811201</v>
      </c>
    </row>
    <row r="53" spans="1:15" ht="15" customHeight="1" x14ac:dyDescent="0.25">
      <c r="A53" t="s">
        <v>10</v>
      </c>
      <c r="B53" t="s">
        <v>11</v>
      </c>
      <c r="C53" s="1">
        <v>45545</v>
      </c>
      <c r="D53" s="4">
        <v>6.69</v>
      </c>
      <c r="E53" s="4">
        <v>6.8</v>
      </c>
      <c r="F53" s="4">
        <v>6.63</v>
      </c>
      <c r="G53" s="4">
        <v>6.65</v>
      </c>
      <c r="H53" s="4">
        <v>83721</v>
      </c>
      <c r="I53" s="4">
        <v>510.19</v>
      </c>
      <c r="J53" s="4">
        <v>76720810</v>
      </c>
      <c r="M53">
        <f t="shared" si="0"/>
        <v>16.825115740740742</v>
      </c>
      <c r="N53" s="5">
        <f t="shared" si="1"/>
        <v>8.646616541353383E-2</v>
      </c>
      <c r="O53" s="8">
        <f t="shared" si="2"/>
        <v>6.6499558594337049</v>
      </c>
    </row>
    <row r="54" spans="1:15" ht="15" customHeight="1" x14ac:dyDescent="0.25">
      <c r="A54" t="s">
        <v>10</v>
      </c>
      <c r="B54" t="s">
        <v>11</v>
      </c>
      <c r="C54" s="1">
        <v>45546</v>
      </c>
      <c r="D54" s="4">
        <v>6.77</v>
      </c>
      <c r="E54" s="4">
        <v>6.77</v>
      </c>
      <c r="F54" s="4">
        <v>6.6</v>
      </c>
      <c r="G54" s="4">
        <v>6.66</v>
      </c>
      <c r="H54" s="4">
        <v>101703</v>
      </c>
      <c r="I54" s="4">
        <v>510.96</v>
      </c>
      <c r="J54" s="4">
        <v>76720810</v>
      </c>
      <c r="M54">
        <f t="shared" si="0"/>
        <v>16.850416666666668</v>
      </c>
      <c r="N54" s="5">
        <f t="shared" si="1"/>
        <v>8.6336336336336333E-2</v>
      </c>
      <c r="O54" s="8">
        <f t="shared" si="2"/>
        <v>6.659992249821137</v>
      </c>
    </row>
    <row r="55" spans="1:15" ht="15" customHeight="1" x14ac:dyDescent="0.25">
      <c r="A55" t="s">
        <v>10</v>
      </c>
      <c r="B55" t="s">
        <v>11</v>
      </c>
      <c r="C55" s="1">
        <v>45547</v>
      </c>
      <c r="D55" s="4">
        <v>6.66</v>
      </c>
      <c r="E55" s="4">
        <v>6.77</v>
      </c>
      <c r="F55" s="4">
        <v>6.42</v>
      </c>
      <c r="G55" s="4">
        <v>6.7</v>
      </c>
      <c r="H55" s="4">
        <v>143183</v>
      </c>
      <c r="I55" s="4">
        <v>514.03</v>
      </c>
      <c r="J55" s="4">
        <v>76720810</v>
      </c>
      <c r="M55">
        <f t="shared" si="0"/>
        <v>16.951620370370371</v>
      </c>
      <c r="N55" s="5">
        <f t="shared" si="1"/>
        <v>8.5820895522388058E-2</v>
      </c>
      <c r="O55" s="8">
        <f t="shared" si="2"/>
        <v>6.7000074686385611</v>
      </c>
    </row>
    <row r="56" spans="1:15" ht="15" customHeight="1" x14ac:dyDescent="0.25">
      <c r="A56" t="s">
        <v>10</v>
      </c>
      <c r="B56" t="s">
        <v>11</v>
      </c>
      <c r="C56" s="1">
        <v>45548</v>
      </c>
      <c r="D56" s="4">
        <v>6.76</v>
      </c>
      <c r="E56" s="4">
        <v>6.76</v>
      </c>
      <c r="F56" s="4">
        <v>6.64</v>
      </c>
      <c r="G56" s="4">
        <v>6.67</v>
      </c>
      <c r="H56" s="4">
        <v>137677</v>
      </c>
      <c r="I56" s="4">
        <v>511.73</v>
      </c>
      <c r="J56" s="4">
        <v>76720810</v>
      </c>
      <c r="M56">
        <f t="shared" si="0"/>
        <v>16.87571759259259</v>
      </c>
      <c r="N56" s="5">
        <f t="shared" si="1"/>
        <v>8.620689655172413E-2</v>
      </c>
      <c r="O56" s="8">
        <f t="shared" si="2"/>
        <v>6.6700286402085691</v>
      </c>
    </row>
    <row r="57" spans="1:15" ht="15" customHeight="1" x14ac:dyDescent="0.25">
      <c r="A57" t="s">
        <v>10</v>
      </c>
      <c r="B57" t="s">
        <v>11</v>
      </c>
      <c r="C57" s="1">
        <v>45551</v>
      </c>
      <c r="D57" s="4">
        <v>6.68</v>
      </c>
      <c r="E57" s="4">
        <v>6.84</v>
      </c>
      <c r="F57" s="4">
        <v>6.65</v>
      </c>
      <c r="G57" s="4">
        <v>6.7</v>
      </c>
      <c r="H57" s="4">
        <v>115215</v>
      </c>
      <c r="I57" s="4">
        <v>514.03</v>
      </c>
      <c r="J57" s="4">
        <v>76720810</v>
      </c>
      <c r="M57">
        <f t="shared" si="0"/>
        <v>16.951620370370371</v>
      </c>
      <c r="N57" s="5">
        <f t="shared" si="1"/>
        <v>8.5820895522388058E-2</v>
      </c>
      <c r="O57" s="8">
        <f t="shared" si="2"/>
        <v>6.7000074686385611</v>
      </c>
    </row>
    <row r="58" spans="1:15" ht="15" customHeight="1" x14ac:dyDescent="0.25">
      <c r="A58" t="s">
        <v>10</v>
      </c>
      <c r="B58" t="s">
        <v>11</v>
      </c>
      <c r="C58" s="1">
        <v>45552</v>
      </c>
      <c r="D58" s="4">
        <v>6.7</v>
      </c>
      <c r="E58" s="4">
        <v>6.75</v>
      </c>
      <c r="F58" s="4">
        <v>6.64</v>
      </c>
      <c r="G58" s="4">
        <v>6.7</v>
      </c>
      <c r="H58" s="4">
        <v>213208</v>
      </c>
      <c r="I58" s="4">
        <v>514.03</v>
      </c>
      <c r="J58" s="4">
        <v>76720810</v>
      </c>
      <c r="M58">
        <f t="shared" si="0"/>
        <v>16.951620370370371</v>
      </c>
      <c r="N58" s="5">
        <f t="shared" si="1"/>
        <v>8.5820895522388058E-2</v>
      </c>
      <c r="O58" s="8">
        <f t="shared" si="2"/>
        <v>6.7000074686385611</v>
      </c>
    </row>
    <row r="59" spans="1:15" ht="15" customHeight="1" x14ac:dyDescent="0.25">
      <c r="A59" t="s">
        <v>10</v>
      </c>
      <c r="B59" t="s">
        <v>11</v>
      </c>
      <c r="C59" s="1">
        <v>45553</v>
      </c>
      <c r="D59" s="4">
        <v>6.74</v>
      </c>
      <c r="E59" s="4">
        <v>6.87</v>
      </c>
      <c r="F59" s="4">
        <v>6.7</v>
      </c>
      <c r="G59" s="4">
        <v>6.75</v>
      </c>
      <c r="H59" s="4">
        <v>175959</v>
      </c>
      <c r="I59" s="4">
        <v>517.87</v>
      </c>
      <c r="J59" s="4">
        <v>76720810</v>
      </c>
      <c r="M59">
        <f t="shared" si="0"/>
        <v>17.078125</v>
      </c>
      <c r="N59" s="5">
        <f t="shared" si="1"/>
        <v>8.5185185185185183E-2</v>
      </c>
      <c r="O59" s="8">
        <f t="shared" si="2"/>
        <v>6.7500590778434173</v>
      </c>
    </row>
    <row r="60" spans="1:15" ht="15" customHeight="1" x14ac:dyDescent="0.25">
      <c r="A60" t="s">
        <v>10</v>
      </c>
      <c r="B60" t="s">
        <v>11</v>
      </c>
      <c r="C60" s="1">
        <v>45554</v>
      </c>
      <c r="D60" s="4">
        <v>6.75</v>
      </c>
      <c r="E60" s="4">
        <v>6.78</v>
      </c>
      <c r="F60" s="4">
        <v>6.73</v>
      </c>
      <c r="G60" s="4">
        <v>6.76</v>
      </c>
      <c r="H60" s="4">
        <v>156770</v>
      </c>
      <c r="I60" s="4">
        <v>518.63</v>
      </c>
      <c r="J60" s="4">
        <v>76720810</v>
      </c>
      <c r="M60">
        <f t="shared" si="0"/>
        <v>17.103425925925926</v>
      </c>
      <c r="N60" s="5">
        <f t="shared" si="1"/>
        <v>8.5059171597633126E-2</v>
      </c>
      <c r="O60" s="8">
        <f t="shared" si="2"/>
        <v>6.7599651254985442</v>
      </c>
    </row>
    <row r="61" spans="1:15" ht="15" customHeight="1" x14ac:dyDescent="0.25">
      <c r="A61" t="s">
        <v>10</v>
      </c>
      <c r="B61" t="s">
        <v>11</v>
      </c>
      <c r="C61" s="1">
        <v>45555</v>
      </c>
      <c r="D61" s="4">
        <v>6.77</v>
      </c>
      <c r="E61" s="4">
        <v>7.1</v>
      </c>
      <c r="F61" s="4">
        <v>6.77</v>
      </c>
      <c r="G61" s="4">
        <v>6.91</v>
      </c>
      <c r="H61" s="4">
        <v>213082</v>
      </c>
      <c r="I61" s="4">
        <v>530.14</v>
      </c>
      <c r="J61" s="4">
        <v>76720810</v>
      </c>
      <c r="M61">
        <f t="shared" si="0"/>
        <v>17.482939814814813</v>
      </c>
      <c r="N61" s="5">
        <f t="shared" si="1"/>
        <v>8.3212735166425467E-2</v>
      </c>
      <c r="O61" s="8">
        <f t="shared" si="2"/>
        <v>6.9099896103808076</v>
      </c>
    </row>
    <row r="62" spans="1:15" ht="15" customHeight="1" x14ac:dyDescent="0.25">
      <c r="A62" t="s">
        <v>10</v>
      </c>
      <c r="B62" t="s">
        <v>11</v>
      </c>
      <c r="C62" s="1">
        <v>45558</v>
      </c>
      <c r="D62" s="4">
        <v>6.88</v>
      </c>
      <c r="E62" s="4">
        <v>7.21</v>
      </c>
      <c r="F62" s="4">
        <v>6.85</v>
      </c>
      <c r="G62" s="4">
        <v>7.04</v>
      </c>
      <c r="H62" s="4">
        <v>222843</v>
      </c>
      <c r="I62" s="4">
        <v>540.11</v>
      </c>
      <c r="J62" s="4">
        <v>76720810</v>
      </c>
      <c r="M62">
        <f t="shared" si="0"/>
        <v>17.811851851851852</v>
      </c>
      <c r="N62" s="5">
        <f t="shared" si="1"/>
        <v>8.1676136363636354E-2</v>
      </c>
      <c r="O62" s="8">
        <f t="shared" si="2"/>
        <v>7.0399413144882077</v>
      </c>
    </row>
    <row r="63" spans="1:15" ht="15" customHeight="1" x14ac:dyDescent="0.25">
      <c r="A63" t="s">
        <v>10</v>
      </c>
      <c r="B63" t="s">
        <v>11</v>
      </c>
      <c r="C63" s="1">
        <v>45559</v>
      </c>
      <c r="D63" s="4">
        <v>7.03</v>
      </c>
      <c r="E63" s="4">
        <v>7.12</v>
      </c>
      <c r="F63" s="4">
        <v>6.92</v>
      </c>
      <c r="G63" s="4">
        <v>7.08</v>
      </c>
      <c r="H63" s="4">
        <v>155575</v>
      </c>
      <c r="I63" s="4">
        <v>543.17999999999995</v>
      </c>
      <c r="J63" s="4">
        <v>76720810</v>
      </c>
      <c r="M63">
        <f t="shared" si="0"/>
        <v>17.913055555555555</v>
      </c>
      <c r="N63" s="5">
        <f t="shared" si="1"/>
        <v>8.121468926553671E-2</v>
      </c>
      <c r="O63" s="8">
        <f t="shared" si="2"/>
        <v>7.0799565333056309</v>
      </c>
    </row>
    <row r="64" spans="1:15" ht="15" customHeight="1" x14ac:dyDescent="0.25">
      <c r="A64" t="s">
        <v>10</v>
      </c>
      <c r="B64" t="s">
        <v>11</v>
      </c>
      <c r="C64" s="1">
        <v>45560</v>
      </c>
      <c r="D64" s="4">
        <v>7.13</v>
      </c>
      <c r="E64" s="4">
        <v>7.2149999999999999</v>
      </c>
      <c r="F64" s="4">
        <v>7.04</v>
      </c>
      <c r="G64" s="4">
        <v>7.09</v>
      </c>
      <c r="H64" s="4">
        <v>167393</v>
      </c>
      <c r="I64" s="4">
        <v>543.95000000000005</v>
      </c>
      <c r="J64" s="4">
        <v>76720810</v>
      </c>
      <c r="M64">
        <f t="shared" si="0"/>
        <v>17.938356481481481</v>
      </c>
      <c r="N64" s="5">
        <f t="shared" si="1"/>
        <v>8.1100141043723553E-2</v>
      </c>
      <c r="O64" s="8">
        <f t="shared" si="2"/>
        <v>7.089992923693063</v>
      </c>
    </row>
    <row r="65" spans="1:15" ht="15" customHeight="1" x14ac:dyDescent="0.25">
      <c r="A65" t="s">
        <v>10</v>
      </c>
      <c r="B65" t="s">
        <v>11</v>
      </c>
      <c r="C65" s="1">
        <v>45561</v>
      </c>
      <c r="D65" s="4">
        <v>7.09</v>
      </c>
      <c r="E65" s="4">
        <v>7.39</v>
      </c>
      <c r="F65" s="4">
        <v>7.09</v>
      </c>
      <c r="G65" s="4">
        <v>7.3</v>
      </c>
      <c r="H65" s="4">
        <v>353878</v>
      </c>
      <c r="I65" s="4">
        <v>560.05999999999995</v>
      </c>
      <c r="J65" s="4">
        <v>76720810</v>
      </c>
      <c r="M65">
        <f t="shared" si="0"/>
        <v>18.469675925925923</v>
      </c>
      <c r="N65" s="5">
        <f t="shared" si="1"/>
        <v>7.8767123287671229E-2</v>
      </c>
      <c r="O65" s="8">
        <f t="shared" si="2"/>
        <v>7.2999750654353104</v>
      </c>
    </row>
    <row r="66" spans="1:15" ht="15" customHeight="1" x14ac:dyDescent="0.25">
      <c r="A66" t="s">
        <v>10</v>
      </c>
      <c r="B66" t="s">
        <v>11</v>
      </c>
      <c r="C66" s="1">
        <v>45562</v>
      </c>
      <c r="D66" s="4">
        <v>7.2</v>
      </c>
      <c r="E66" s="4">
        <v>7.31</v>
      </c>
      <c r="F66" s="4">
        <v>7.2</v>
      </c>
      <c r="G66" s="4">
        <v>7.31</v>
      </c>
      <c r="H66" s="4">
        <v>158883</v>
      </c>
      <c r="I66" s="4">
        <v>560.83000000000004</v>
      </c>
      <c r="J66" s="4">
        <v>76720810</v>
      </c>
      <c r="M66">
        <f t="shared" si="0"/>
        <v>18.494976851851849</v>
      </c>
      <c r="N66" s="5">
        <f t="shared" si="1"/>
        <v>7.8659370725034192E-2</v>
      </c>
      <c r="O66" s="8">
        <f t="shared" si="2"/>
        <v>7.3100114558227425</v>
      </c>
    </row>
    <row r="67" spans="1:15" ht="15" customHeight="1" x14ac:dyDescent="0.25">
      <c r="A67" t="s">
        <v>10</v>
      </c>
      <c r="B67" t="s">
        <v>11</v>
      </c>
      <c r="C67" s="1">
        <v>45565</v>
      </c>
      <c r="D67" s="4">
        <v>7.58</v>
      </c>
      <c r="E67" s="4">
        <v>7.65</v>
      </c>
      <c r="F67" s="4">
        <v>7.32</v>
      </c>
      <c r="G67" s="4">
        <v>7.5</v>
      </c>
      <c r="H67" s="4">
        <v>304744</v>
      </c>
      <c r="I67" s="4">
        <v>575.41</v>
      </c>
      <c r="J67" s="4">
        <v>76720810</v>
      </c>
      <c r="M67">
        <f t="shared" ref="M67:M130" si="3">G67/$L$2</f>
        <v>18.975694444444443</v>
      </c>
      <c r="N67" s="5">
        <f t="shared" ref="N67:N130" si="4">$K$2/G67</f>
        <v>7.6666666666666661E-2</v>
      </c>
      <c r="O67" s="8">
        <f t="shared" ref="O67:O130" si="5">I67 * 1000000 / J67</f>
        <v>7.5000511595224291</v>
      </c>
    </row>
    <row r="68" spans="1:15" ht="15" customHeight="1" x14ac:dyDescent="0.25">
      <c r="A68" t="s">
        <v>10</v>
      </c>
      <c r="B68" t="s">
        <v>11</v>
      </c>
      <c r="C68" s="1">
        <v>45566</v>
      </c>
      <c r="D68" s="4">
        <v>7.59</v>
      </c>
      <c r="E68" s="4">
        <v>7.65</v>
      </c>
      <c r="F68" s="4">
        <v>7.42</v>
      </c>
      <c r="G68" s="4">
        <v>7.64</v>
      </c>
      <c r="H68" s="4">
        <v>162955</v>
      </c>
      <c r="I68" s="4">
        <v>586.15</v>
      </c>
      <c r="J68" s="4">
        <v>76720810</v>
      </c>
      <c r="M68">
        <f t="shared" si="3"/>
        <v>19.329907407407404</v>
      </c>
      <c r="N68" s="5">
        <f t="shared" si="4"/>
        <v>7.5261780104712045E-2</v>
      </c>
      <c r="O68" s="8">
        <f t="shared" si="5"/>
        <v>7.6400392540172604</v>
      </c>
    </row>
    <row r="69" spans="1:15" ht="15" customHeight="1" x14ac:dyDescent="0.25">
      <c r="A69" t="s">
        <v>10</v>
      </c>
      <c r="B69" t="s">
        <v>11</v>
      </c>
      <c r="C69" s="1">
        <v>45567</v>
      </c>
      <c r="D69" s="4">
        <v>7.63</v>
      </c>
      <c r="E69" s="4">
        <v>7.75</v>
      </c>
      <c r="F69" s="4">
        <v>7.53</v>
      </c>
      <c r="G69" s="4">
        <v>7.7</v>
      </c>
      <c r="H69" s="4">
        <v>124474</v>
      </c>
      <c r="I69" s="4">
        <v>590.75</v>
      </c>
      <c r="J69" s="4">
        <v>76720810</v>
      </c>
      <c r="M69">
        <f t="shared" si="3"/>
        <v>19.481712962962963</v>
      </c>
      <c r="N69" s="5">
        <f t="shared" si="4"/>
        <v>7.4675324675324672E-2</v>
      </c>
      <c r="O69" s="8">
        <f t="shared" si="5"/>
        <v>7.6999969108772444</v>
      </c>
    </row>
    <row r="70" spans="1:15" ht="15" customHeight="1" x14ac:dyDescent="0.25">
      <c r="A70" t="s">
        <v>10</v>
      </c>
      <c r="B70" t="s">
        <v>11</v>
      </c>
      <c r="C70" s="1">
        <v>45568</v>
      </c>
      <c r="D70" s="4">
        <v>7.8</v>
      </c>
      <c r="E70" s="4">
        <v>7.85</v>
      </c>
      <c r="F70" s="4">
        <v>7.5350000000000001</v>
      </c>
      <c r="G70" s="4">
        <v>7.75</v>
      </c>
      <c r="H70" s="4">
        <v>187027</v>
      </c>
      <c r="I70" s="4">
        <v>594.59</v>
      </c>
      <c r="J70" s="4">
        <v>76720810</v>
      </c>
      <c r="M70">
        <f t="shared" si="3"/>
        <v>19.608217592592592</v>
      </c>
      <c r="N70" s="5">
        <f t="shared" si="4"/>
        <v>7.4193548387096769E-2</v>
      </c>
      <c r="O70" s="8">
        <f t="shared" si="5"/>
        <v>7.7500485200821005</v>
      </c>
    </row>
    <row r="71" spans="1:15" ht="15" customHeight="1" x14ac:dyDescent="0.25">
      <c r="A71" t="s">
        <v>10</v>
      </c>
      <c r="B71" t="s">
        <v>11</v>
      </c>
      <c r="C71" s="1">
        <v>45569</v>
      </c>
      <c r="D71" s="4">
        <v>7.83</v>
      </c>
      <c r="E71" s="4">
        <v>7.83</v>
      </c>
      <c r="F71" s="4">
        <v>7.55</v>
      </c>
      <c r="G71" s="4">
        <v>7.6</v>
      </c>
      <c r="H71" s="4">
        <v>94939</v>
      </c>
      <c r="I71" s="4">
        <v>583.08000000000004</v>
      </c>
      <c r="J71" s="4">
        <v>76720810</v>
      </c>
      <c r="M71">
        <f t="shared" si="3"/>
        <v>19.228703703703701</v>
      </c>
      <c r="N71" s="5">
        <f t="shared" si="4"/>
        <v>7.5657894736842105E-2</v>
      </c>
      <c r="O71" s="8">
        <f t="shared" si="5"/>
        <v>7.6000240351998372</v>
      </c>
    </row>
    <row r="72" spans="1:15" ht="15" customHeight="1" x14ac:dyDescent="0.25">
      <c r="A72" t="s">
        <v>10</v>
      </c>
      <c r="B72" t="s">
        <v>11</v>
      </c>
      <c r="C72" s="1">
        <v>45572</v>
      </c>
      <c r="D72" s="4">
        <v>7.67</v>
      </c>
      <c r="E72" s="4">
        <v>7.74</v>
      </c>
      <c r="F72" s="4">
        <v>7.56</v>
      </c>
      <c r="G72" s="4">
        <v>7.7</v>
      </c>
      <c r="H72" s="4">
        <v>51999</v>
      </c>
      <c r="I72" s="4">
        <v>590.75</v>
      </c>
      <c r="J72" s="4">
        <v>76720810</v>
      </c>
      <c r="M72">
        <f t="shared" si="3"/>
        <v>19.481712962962963</v>
      </c>
      <c r="N72" s="5">
        <f t="shared" si="4"/>
        <v>7.4675324675324672E-2</v>
      </c>
      <c r="O72" s="8">
        <f t="shared" si="5"/>
        <v>7.6999969108772444</v>
      </c>
    </row>
    <row r="73" spans="1:15" ht="15" customHeight="1" x14ac:dyDescent="0.25">
      <c r="A73" t="s">
        <v>10</v>
      </c>
      <c r="B73" t="s">
        <v>11</v>
      </c>
      <c r="C73" s="1">
        <v>45573</v>
      </c>
      <c r="D73" s="4">
        <v>7.71</v>
      </c>
      <c r="E73" s="4">
        <v>7.74</v>
      </c>
      <c r="F73" s="4">
        <v>7.58</v>
      </c>
      <c r="G73" s="4">
        <v>7.65</v>
      </c>
      <c r="H73" s="4">
        <v>70668</v>
      </c>
      <c r="I73" s="4">
        <v>586.91</v>
      </c>
      <c r="J73" s="4">
        <v>76720810</v>
      </c>
      <c r="M73">
        <f t="shared" si="3"/>
        <v>19.355208333333334</v>
      </c>
      <c r="N73" s="5">
        <f t="shared" si="4"/>
        <v>7.5163398692810454E-2</v>
      </c>
      <c r="O73" s="8">
        <f t="shared" si="5"/>
        <v>7.6499453016723882</v>
      </c>
    </row>
    <row r="74" spans="1:15" ht="15" customHeight="1" x14ac:dyDescent="0.25">
      <c r="A74" t="s">
        <v>10</v>
      </c>
      <c r="B74" t="s">
        <v>11</v>
      </c>
      <c r="C74" s="1">
        <v>45574</v>
      </c>
      <c r="D74" s="4">
        <v>7.6</v>
      </c>
      <c r="E74" s="4">
        <v>7.77</v>
      </c>
      <c r="F74" s="4">
        <v>7.6</v>
      </c>
      <c r="G74" s="4">
        <v>7.75</v>
      </c>
      <c r="H74" s="4">
        <v>92087</v>
      </c>
      <c r="I74" s="4">
        <v>594.59</v>
      </c>
      <c r="J74" s="4">
        <v>76720810</v>
      </c>
      <c r="M74">
        <f t="shared" si="3"/>
        <v>19.608217592592592</v>
      </c>
      <c r="N74" s="5">
        <f t="shared" si="4"/>
        <v>7.4193548387096769E-2</v>
      </c>
      <c r="O74" s="8">
        <f t="shared" si="5"/>
        <v>7.7500485200821005</v>
      </c>
    </row>
    <row r="75" spans="1:15" ht="15" customHeight="1" x14ac:dyDescent="0.25">
      <c r="A75" t="s">
        <v>10</v>
      </c>
      <c r="B75" t="s">
        <v>11</v>
      </c>
      <c r="C75" s="1">
        <v>45575</v>
      </c>
      <c r="D75" s="4">
        <v>7.73</v>
      </c>
      <c r="E75" s="4">
        <v>7.89</v>
      </c>
      <c r="F75" s="4">
        <v>7.64</v>
      </c>
      <c r="G75" s="4">
        <v>7.7</v>
      </c>
      <c r="H75" s="4">
        <v>149400</v>
      </c>
      <c r="I75" s="4">
        <v>590.75</v>
      </c>
      <c r="J75" s="4">
        <v>76720810</v>
      </c>
      <c r="M75">
        <f t="shared" si="3"/>
        <v>19.481712962962963</v>
      </c>
      <c r="N75" s="5">
        <f t="shared" si="4"/>
        <v>7.4675324675324672E-2</v>
      </c>
      <c r="O75" s="8">
        <f t="shared" si="5"/>
        <v>7.6999969108772444</v>
      </c>
    </row>
    <row r="76" spans="1:15" ht="15" customHeight="1" x14ac:dyDescent="0.25">
      <c r="A76" t="s">
        <v>10</v>
      </c>
      <c r="B76" t="s">
        <v>11</v>
      </c>
      <c r="C76" s="1">
        <v>45576</v>
      </c>
      <c r="D76" s="4">
        <v>7.7</v>
      </c>
      <c r="E76" s="4">
        <v>7.75</v>
      </c>
      <c r="F76" s="4">
        <v>7.61</v>
      </c>
      <c r="G76" s="4">
        <v>7.71</v>
      </c>
      <c r="H76" s="4">
        <v>71778</v>
      </c>
      <c r="I76" s="4">
        <v>591.52</v>
      </c>
      <c r="J76" s="4">
        <v>76720810</v>
      </c>
      <c r="M76">
        <f t="shared" si="3"/>
        <v>19.507013888888888</v>
      </c>
      <c r="N76" s="5">
        <f t="shared" si="4"/>
        <v>7.457846952010376E-2</v>
      </c>
      <c r="O76" s="8">
        <f t="shared" si="5"/>
        <v>7.7100333012646765</v>
      </c>
    </row>
    <row r="77" spans="1:15" ht="15" customHeight="1" x14ac:dyDescent="0.25">
      <c r="A77" t="s">
        <v>10</v>
      </c>
      <c r="B77" t="s">
        <v>11</v>
      </c>
      <c r="C77" s="1">
        <v>45579</v>
      </c>
      <c r="D77" s="4">
        <v>7.73</v>
      </c>
      <c r="E77" s="4">
        <v>7.78</v>
      </c>
      <c r="F77" s="4">
        <v>7.53</v>
      </c>
      <c r="G77" s="4">
        <v>7.62</v>
      </c>
      <c r="H77" s="4">
        <v>374206</v>
      </c>
      <c r="I77" s="4">
        <v>584.61</v>
      </c>
      <c r="J77" s="4">
        <v>76720810</v>
      </c>
      <c r="M77">
        <f t="shared" si="3"/>
        <v>19.279305555555556</v>
      </c>
      <c r="N77" s="5">
        <f t="shared" si="4"/>
        <v>7.5459317585301833E-2</v>
      </c>
      <c r="O77" s="8">
        <f t="shared" si="5"/>
        <v>7.6199664732423971</v>
      </c>
    </row>
    <row r="78" spans="1:15" ht="15" customHeight="1" x14ac:dyDescent="0.25">
      <c r="A78" t="s">
        <v>10</v>
      </c>
      <c r="B78" t="s">
        <v>11</v>
      </c>
      <c r="C78" s="1">
        <v>45580</v>
      </c>
      <c r="D78" s="4">
        <v>7.56</v>
      </c>
      <c r="E78" s="4">
        <v>8.06</v>
      </c>
      <c r="F78" s="4">
        <v>7.56</v>
      </c>
      <c r="G78" s="4">
        <v>8.0299999999999994</v>
      </c>
      <c r="H78" s="4">
        <v>147740</v>
      </c>
      <c r="I78" s="4">
        <v>616.07000000000005</v>
      </c>
      <c r="J78" s="4">
        <v>76720810</v>
      </c>
      <c r="M78">
        <f t="shared" si="3"/>
        <v>20.316643518518514</v>
      </c>
      <c r="N78" s="5">
        <f t="shared" si="4"/>
        <v>7.1606475716064752E-2</v>
      </c>
      <c r="O78" s="8">
        <f t="shared" si="5"/>
        <v>8.0300247090717622</v>
      </c>
    </row>
    <row r="79" spans="1:15" ht="15" customHeight="1" x14ac:dyDescent="0.25">
      <c r="A79" t="s">
        <v>10</v>
      </c>
      <c r="B79" t="s">
        <v>11</v>
      </c>
      <c r="C79" s="1">
        <v>45581</v>
      </c>
      <c r="D79" s="4">
        <v>8</v>
      </c>
      <c r="E79" s="4">
        <v>8.24</v>
      </c>
      <c r="F79" s="4">
        <v>7.94</v>
      </c>
      <c r="G79" s="4">
        <v>8.1199999999999992</v>
      </c>
      <c r="H79" s="4">
        <v>330849</v>
      </c>
      <c r="I79" s="4">
        <v>622.97</v>
      </c>
      <c r="J79" s="4">
        <v>76720810</v>
      </c>
      <c r="M79">
        <f t="shared" si="3"/>
        <v>20.54435185185185</v>
      </c>
      <c r="N79" s="5">
        <f t="shared" si="4"/>
        <v>7.0812807881773396E-2</v>
      </c>
      <c r="O79" s="8">
        <f t="shared" si="5"/>
        <v>8.1199611943617391</v>
      </c>
    </row>
    <row r="80" spans="1:15" ht="15" customHeight="1" x14ac:dyDescent="0.25">
      <c r="A80" t="s">
        <v>10</v>
      </c>
      <c r="B80" t="s">
        <v>11</v>
      </c>
      <c r="C80" s="1">
        <v>45582</v>
      </c>
      <c r="D80" s="4">
        <v>8.1999999999999993</v>
      </c>
      <c r="E80" s="4">
        <v>8.23</v>
      </c>
      <c r="F80" s="4">
        <v>8.0299999999999994</v>
      </c>
      <c r="G80" s="4">
        <v>8.09</v>
      </c>
      <c r="H80" s="4">
        <v>75140</v>
      </c>
      <c r="I80" s="4">
        <v>620.66999999999996</v>
      </c>
      <c r="J80" s="4">
        <v>76720810</v>
      </c>
      <c r="M80">
        <f t="shared" si="3"/>
        <v>20.468449074074073</v>
      </c>
      <c r="N80" s="5">
        <f t="shared" si="4"/>
        <v>7.1075401730531521E-2</v>
      </c>
      <c r="O80" s="8">
        <f t="shared" si="5"/>
        <v>8.0899823659317462</v>
      </c>
    </row>
    <row r="81" spans="1:15" ht="15" customHeight="1" x14ac:dyDescent="0.25">
      <c r="A81" t="s">
        <v>10</v>
      </c>
      <c r="B81" t="s">
        <v>11</v>
      </c>
      <c r="C81" s="1">
        <v>45583</v>
      </c>
      <c r="D81" s="4">
        <v>8.1</v>
      </c>
      <c r="E81" s="4">
        <v>8.16</v>
      </c>
      <c r="F81" s="4">
        <v>7.95</v>
      </c>
      <c r="G81" s="4">
        <v>8.16</v>
      </c>
      <c r="H81" s="4">
        <v>77637</v>
      </c>
      <c r="I81" s="4">
        <v>626.04</v>
      </c>
      <c r="J81" s="4">
        <v>76720810</v>
      </c>
      <c r="M81">
        <f t="shared" si="3"/>
        <v>20.645555555555553</v>
      </c>
      <c r="N81" s="5">
        <f t="shared" si="4"/>
        <v>7.0465686274509803E-2</v>
      </c>
      <c r="O81" s="8">
        <f t="shared" si="5"/>
        <v>8.1599764131791623</v>
      </c>
    </row>
    <row r="82" spans="1:15" ht="15" customHeight="1" x14ac:dyDescent="0.25">
      <c r="A82" t="s">
        <v>10</v>
      </c>
      <c r="B82" t="s">
        <v>11</v>
      </c>
      <c r="C82" s="1">
        <v>45586</v>
      </c>
      <c r="D82" s="4">
        <v>8.09</v>
      </c>
      <c r="E82" s="4">
        <v>8.36</v>
      </c>
      <c r="F82" s="4">
        <v>8.08</v>
      </c>
      <c r="G82" s="4">
        <v>8.25</v>
      </c>
      <c r="H82" s="4">
        <v>91507</v>
      </c>
      <c r="I82" s="4">
        <v>632.95000000000005</v>
      </c>
      <c r="J82" s="4">
        <v>76720810</v>
      </c>
      <c r="M82">
        <f t="shared" si="3"/>
        <v>20.873263888888889</v>
      </c>
      <c r="N82" s="5">
        <f t="shared" si="4"/>
        <v>6.9696969696969688E-2</v>
      </c>
      <c r="O82" s="8">
        <f t="shared" si="5"/>
        <v>8.2500432412014426</v>
      </c>
    </row>
    <row r="83" spans="1:15" ht="15" customHeight="1" x14ac:dyDescent="0.25">
      <c r="A83" t="s">
        <v>10</v>
      </c>
      <c r="B83" t="s">
        <v>11</v>
      </c>
      <c r="C83" s="1">
        <v>45587</v>
      </c>
      <c r="D83" s="4">
        <v>8.2899999999999991</v>
      </c>
      <c r="E83" s="4">
        <v>8.32</v>
      </c>
      <c r="F83" s="4">
        <v>7.9649999999999999</v>
      </c>
      <c r="G83" s="4">
        <v>8.25</v>
      </c>
      <c r="H83" s="4">
        <v>310090</v>
      </c>
      <c r="I83" s="4">
        <v>632.95000000000005</v>
      </c>
      <c r="J83" s="4">
        <v>76720810</v>
      </c>
      <c r="M83">
        <f t="shared" si="3"/>
        <v>20.873263888888889</v>
      </c>
      <c r="N83" s="5">
        <f t="shared" si="4"/>
        <v>6.9696969696969688E-2</v>
      </c>
      <c r="O83" s="8">
        <f t="shared" si="5"/>
        <v>8.2500432412014426</v>
      </c>
    </row>
    <row r="84" spans="1:15" ht="15" customHeight="1" x14ac:dyDescent="0.25">
      <c r="A84" t="s">
        <v>10</v>
      </c>
      <c r="B84" t="s">
        <v>11</v>
      </c>
      <c r="C84" s="1">
        <v>45588</v>
      </c>
      <c r="D84" s="4">
        <v>8.25</v>
      </c>
      <c r="E84" s="4">
        <v>8.33</v>
      </c>
      <c r="F84" s="4">
        <v>8.1199999999999992</v>
      </c>
      <c r="G84" s="4">
        <v>8.2100000000000009</v>
      </c>
      <c r="H84" s="4">
        <v>121640</v>
      </c>
      <c r="I84" s="4">
        <v>629.88</v>
      </c>
      <c r="J84" s="4">
        <v>76720810</v>
      </c>
      <c r="M84">
        <f t="shared" si="3"/>
        <v>20.772060185185186</v>
      </c>
      <c r="N84" s="5">
        <f t="shared" si="4"/>
        <v>7.0036540803897679E-2</v>
      </c>
      <c r="O84" s="8">
        <f t="shared" si="5"/>
        <v>8.2100280223840176</v>
      </c>
    </row>
    <row r="85" spans="1:15" ht="15" customHeight="1" x14ac:dyDescent="0.25">
      <c r="A85" t="s">
        <v>10</v>
      </c>
      <c r="B85" t="s">
        <v>11</v>
      </c>
      <c r="C85" s="1">
        <v>45589</v>
      </c>
      <c r="D85" s="4">
        <v>8.2100000000000009</v>
      </c>
      <c r="E85" s="4">
        <v>8.2100000000000009</v>
      </c>
      <c r="F85" s="4">
        <v>7.84</v>
      </c>
      <c r="G85" s="4">
        <v>7.96</v>
      </c>
      <c r="H85" s="4">
        <v>147525</v>
      </c>
      <c r="I85" s="4">
        <v>610.70000000000005</v>
      </c>
      <c r="J85" s="4">
        <v>76720810</v>
      </c>
      <c r="M85">
        <f t="shared" si="3"/>
        <v>20.139537037037037</v>
      </c>
      <c r="N85" s="5">
        <f t="shared" si="4"/>
        <v>7.2236180904522607E-2</v>
      </c>
      <c r="O85" s="8">
        <f t="shared" si="5"/>
        <v>7.960030661824347</v>
      </c>
    </row>
    <row r="86" spans="1:15" ht="15" customHeight="1" x14ac:dyDescent="0.25">
      <c r="A86" t="s">
        <v>10</v>
      </c>
      <c r="B86" t="s">
        <v>11</v>
      </c>
      <c r="C86" s="1">
        <v>45590</v>
      </c>
      <c r="D86" s="4">
        <v>7.96</v>
      </c>
      <c r="E86" s="4">
        <v>8.09</v>
      </c>
      <c r="F86" s="4">
        <v>7.94</v>
      </c>
      <c r="G86" s="4">
        <v>7.98</v>
      </c>
      <c r="H86" s="4">
        <v>52216</v>
      </c>
      <c r="I86" s="4">
        <v>612.23</v>
      </c>
      <c r="J86" s="4">
        <v>76720810</v>
      </c>
      <c r="M86">
        <f t="shared" si="3"/>
        <v>20.190138888888889</v>
      </c>
      <c r="N86" s="5">
        <f t="shared" si="4"/>
        <v>7.2055137844611525E-2</v>
      </c>
      <c r="O86" s="8">
        <f t="shared" si="5"/>
        <v>7.9799730998669069</v>
      </c>
    </row>
    <row r="87" spans="1:15" ht="15" customHeight="1" x14ac:dyDescent="0.25">
      <c r="A87" t="s">
        <v>10</v>
      </c>
      <c r="B87" t="s">
        <v>11</v>
      </c>
      <c r="C87" s="1">
        <v>45593</v>
      </c>
      <c r="D87" s="4">
        <v>8.18</v>
      </c>
      <c r="E87" s="4">
        <v>8.2799999999999994</v>
      </c>
      <c r="F87" s="4">
        <v>7.97</v>
      </c>
      <c r="G87" s="4">
        <v>8.19</v>
      </c>
      <c r="H87" s="4">
        <v>105655</v>
      </c>
      <c r="I87" s="4">
        <v>628.34</v>
      </c>
      <c r="J87" s="4">
        <v>76720810</v>
      </c>
      <c r="M87">
        <f t="shared" si="3"/>
        <v>20.721458333333331</v>
      </c>
      <c r="N87" s="5">
        <f t="shared" si="4"/>
        <v>7.0207570207570208E-2</v>
      </c>
      <c r="O87" s="8">
        <f t="shared" si="5"/>
        <v>8.1899552416091534</v>
      </c>
    </row>
    <row r="88" spans="1:15" ht="15" customHeight="1" x14ac:dyDescent="0.25">
      <c r="A88" t="s">
        <v>10</v>
      </c>
      <c r="B88" t="s">
        <v>11</v>
      </c>
      <c r="C88" s="1">
        <v>45594</v>
      </c>
      <c r="D88" s="4">
        <v>8.2200000000000006</v>
      </c>
      <c r="E88" s="4">
        <v>8.4</v>
      </c>
      <c r="F88" s="4">
        <v>8.02</v>
      </c>
      <c r="G88" s="4">
        <v>8.33</v>
      </c>
      <c r="H88" s="4">
        <v>166779</v>
      </c>
      <c r="I88" s="4">
        <v>639.08000000000004</v>
      </c>
      <c r="J88" s="4">
        <v>76720810</v>
      </c>
      <c r="M88">
        <f t="shared" si="3"/>
        <v>21.075671296296296</v>
      </c>
      <c r="N88" s="5">
        <f t="shared" si="4"/>
        <v>6.9027611044417764E-2</v>
      </c>
      <c r="O88" s="8">
        <f t="shared" si="5"/>
        <v>8.3299433361039856</v>
      </c>
    </row>
    <row r="89" spans="1:15" ht="15" customHeight="1" x14ac:dyDescent="0.25">
      <c r="A89" t="s">
        <v>10</v>
      </c>
      <c r="B89" t="s">
        <v>11</v>
      </c>
      <c r="C89" s="1">
        <v>45595</v>
      </c>
      <c r="D89" s="4">
        <v>8.33</v>
      </c>
      <c r="E89" s="4">
        <v>8.42</v>
      </c>
      <c r="F89" s="4">
        <v>7.5149999999999997</v>
      </c>
      <c r="G89" s="4">
        <v>7.99</v>
      </c>
      <c r="H89" s="4">
        <v>395440</v>
      </c>
      <c r="I89" s="4">
        <v>613</v>
      </c>
      <c r="J89" s="4">
        <v>76720810</v>
      </c>
      <c r="M89">
        <f t="shared" si="3"/>
        <v>20.215439814814815</v>
      </c>
      <c r="N89" s="5">
        <f t="shared" si="4"/>
        <v>7.1964956195244054E-2</v>
      </c>
      <c r="O89" s="8">
        <f t="shared" si="5"/>
        <v>7.990009490254339</v>
      </c>
    </row>
    <row r="90" spans="1:15" ht="15" customHeight="1" x14ac:dyDescent="0.25">
      <c r="A90" t="s">
        <v>10</v>
      </c>
      <c r="B90" t="s">
        <v>11</v>
      </c>
      <c r="C90" s="1">
        <v>45596</v>
      </c>
      <c r="D90" s="4">
        <v>7.92</v>
      </c>
      <c r="E90" s="4">
        <v>8</v>
      </c>
      <c r="F90" s="4">
        <v>7.49</v>
      </c>
      <c r="G90" s="4">
        <v>7.88</v>
      </c>
      <c r="H90" s="4">
        <v>200046</v>
      </c>
      <c r="I90" s="4">
        <v>604.55999999999995</v>
      </c>
      <c r="J90" s="4">
        <v>76720810</v>
      </c>
      <c r="M90">
        <f t="shared" si="3"/>
        <v>19.937129629629627</v>
      </c>
      <c r="N90" s="5">
        <f t="shared" si="4"/>
        <v>7.2969543147208119E-2</v>
      </c>
      <c r="O90" s="8">
        <f t="shared" si="5"/>
        <v>7.8800002241894997</v>
      </c>
    </row>
    <row r="91" spans="1:15" ht="15" customHeight="1" x14ac:dyDescent="0.25">
      <c r="A91" t="s">
        <v>10</v>
      </c>
      <c r="B91" t="s">
        <v>11</v>
      </c>
      <c r="C91" s="1">
        <v>45597</v>
      </c>
      <c r="D91" s="4">
        <v>7.85</v>
      </c>
      <c r="E91" s="4">
        <v>8.0399999999999991</v>
      </c>
      <c r="F91" s="4">
        <v>7.72</v>
      </c>
      <c r="G91" s="4">
        <v>7.8</v>
      </c>
      <c r="H91" s="4">
        <v>119061</v>
      </c>
      <c r="I91" s="4">
        <v>598.41999999999996</v>
      </c>
      <c r="J91" s="4">
        <v>76720810</v>
      </c>
      <c r="M91">
        <f t="shared" si="3"/>
        <v>19.734722222222221</v>
      </c>
      <c r="N91" s="5">
        <f t="shared" si="4"/>
        <v>7.371794871794872E-2</v>
      </c>
      <c r="O91" s="8">
        <f t="shared" si="5"/>
        <v>7.7999697865546516</v>
      </c>
    </row>
    <row r="92" spans="1:15" ht="15" customHeight="1" x14ac:dyDescent="0.25">
      <c r="A92" t="s">
        <v>10</v>
      </c>
      <c r="B92" t="s">
        <v>11</v>
      </c>
      <c r="C92" s="1">
        <v>45600</v>
      </c>
      <c r="D92" s="4">
        <v>7.83</v>
      </c>
      <c r="E92" s="4">
        <v>7.92</v>
      </c>
      <c r="F92" s="4">
        <v>7.57</v>
      </c>
      <c r="G92" s="4">
        <v>7.65</v>
      </c>
      <c r="H92" s="4">
        <v>112819</v>
      </c>
      <c r="I92" s="4">
        <v>586.91</v>
      </c>
      <c r="J92" s="4">
        <v>76720810</v>
      </c>
      <c r="M92">
        <f t="shared" si="3"/>
        <v>19.355208333333334</v>
      </c>
      <c r="N92" s="5">
        <f t="shared" si="4"/>
        <v>7.5163398692810454E-2</v>
      </c>
      <c r="O92" s="8">
        <f t="shared" si="5"/>
        <v>7.6499453016723882</v>
      </c>
    </row>
    <row r="93" spans="1:15" ht="15" customHeight="1" x14ac:dyDescent="0.25">
      <c r="A93" t="s">
        <v>10</v>
      </c>
      <c r="B93" t="s">
        <v>11</v>
      </c>
      <c r="C93" s="1">
        <v>45601</v>
      </c>
      <c r="D93" s="4">
        <v>7.7</v>
      </c>
      <c r="E93" s="4">
        <v>7.7</v>
      </c>
      <c r="F93" s="4">
        <v>7.6</v>
      </c>
      <c r="G93" s="4">
        <v>7.64</v>
      </c>
      <c r="H93" s="4">
        <v>41104</v>
      </c>
      <c r="I93" s="4">
        <v>586.15</v>
      </c>
      <c r="J93" s="4">
        <v>76720810</v>
      </c>
      <c r="M93">
        <f t="shared" si="3"/>
        <v>19.329907407407404</v>
      </c>
      <c r="N93" s="5">
        <f t="shared" si="4"/>
        <v>7.5261780104712045E-2</v>
      </c>
      <c r="O93" s="8">
        <f t="shared" si="5"/>
        <v>7.6400392540172604</v>
      </c>
    </row>
    <row r="94" spans="1:15" ht="15" customHeight="1" x14ac:dyDescent="0.25">
      <c r="A94" t="s">
        <v>10</v>
      </c>
      <c r="B94" t="s">
        <v>11</v>
      </c>
      <c r="C94" s="1">
        <v>45602</v>
      </c>
      <c r="D94" s="4">
        <v>7.67</v>
      </c>
      <c r="E94" s="4">
        <v>7.81</v>
      </c>
      <c r="F94" s="4">
        <v>7.6349999999999998</v>
      </c>
      <c r="G94" s="4">
        <v>7.68</v>
      </c>
      <c r="H94" s="4">
        <v>110653</v>
      </c>
      <c r="I94" s="4">
        <v>589.22</v>
      </c>
      <c r="J94" s="4">
        <v>76720810</v>
      </c>
      <c r="M94">
        <f t="shared" si="3"/>
        <v>19.431111111111111</v>
      </c>
      <c r="N94" s="5">
        <f t="shared" si="4"/>
        <v>7.4869791666666657E-2</v>
      </c>
      <c r="O94" s="8">
        <f t="shared" si="5"/>
        <v>7.6800544728346845</v>
      </c>
    </row>
    <row r="95" spans="1:15" ht="15" customHeight="1" x14ac:dyDescent="0.25">
      <c r="A95" t="s">
        <v>10</v>
      </c>
      <c r="B95" t="s">
        <v>11</v>
      </c>
      <c r="C95" s="1">
        <v>45603</v>
      </c>
      <c r="D95" s="4">
        <v>7.68</v>
      </c>
      <c r="E95" s="4">
        <v>7.82</v>
      </c>
      <c r="F95" s="4">
        <v>7.59</v>
      </c>
      <c r="G95" s="4">
        <v>7.61</v>
      </c>
      <c r="H95" s="4">
        <v>123629</v>
      </c>
      <c r="I95" s="4">
        <v>583.85</v>
      </c>
      <c r="J95" s="4">
        <v>76720810</v>
      </c>
      <c r="M95">
        <f t="shared" si="3"/>
        <v>19.25400462962963</v>
      </c>
      <c r="N95" s="5">
        <f t="shared" si="4"/>
        <v>7.5558475689881721E-2</v>
      </c>
      <c r="O95" s="8">
        <f t="shared" si="5"/>
        <v>7.6100604255872693</v>
      </c>
    </row>
    <row r="96" spans="1:15" ht="15" customHeight="1" x14ac:dyDescent="0.25">
      <c r="A96" t="s">
        <v>10</v>
      </c>
      <c r="B96" t="s">
        <v>11</v>
      </c>
      <c r="C96" s="1">
        <v>45604</v>
      </c>
      <c r="D96" s="4">
        <v>7.65</v>
      </c>
      <c r="E96" s="4">
        <v>7.78</v>
      </c>
      <c r="F96" s="4">
        <v>7.51</v>
      </c>
      <c r="G96" s="4">
        <v>7.73</v>
      </c>
      <c r="H96" s="4">
        <v>190861</v>
      </c>
      <c r="I96" s="4">
        <v>593.04999999999995</v>
      </c>
      <c r="J96" s="4">
        <v>76720810</v>
      </c>
      <c r="M96">
        <f t="shared" si="3"/>
        <v>19.55761574074074</v>
      </c>
      <c r="N96" s="5">
        <f t="shared" si="4"/>
        <v>7.4385510996119009E-2</v>
      </c>
      <c r="O96" s="8">
        <f t="shared" si="5"/>
        <v>7.7299757393072364</v>
      </c>
    </row>
    <row r="97" spans="1:15" ht="15" customHeight="1" x14ac:dyDescent="0.25">
      <c r="A97" t="s">
        <v>10</v>
      </c>
      <c r="B97" t="s">
        <v>11</v>
      </c>
      <c r="C97" s="1">
        <v>45607</v>
      </c>
      <c r="D97" s="4">
        <v>7.68</v>
      </c>
      <c r="E97" s="4">
        <v>7.73</v>
      </c>
      <c r="F97" s="4">
        <v>7.55</v>
      </c>
      <c r="G97" s="4">
        <v>7.73</v>
      </c>
      <c r="H97" s="4">
        <v>54422</v>
      </c>
      <c r="I97" s="4">
        <v>593.04999999999995</v>
      </c>
      <c r="J97" s="4">
        <v>76720810</v>
      </c>
      <c r="M97">
        <f t="shared" si="3"/>
        <v>19.55761574074074</v>
      </c>
      <c r="N97" s="5">
        <f t="shared" si="4"/>
        <v>7.4385510996119009E-2</v>
      </c>
      <c r="O97" s="8">
        <f t="shared" si="5"/>
        <v>7.7299757393072364</v>
      </c>
    </row>
    <row r="98" spans="1:15" ht="15" customHeight="1" x14ac:dyDescent="0.25">
      <c r="A98" t="s">
        <v>10</v>
      </c>
      <c r="B98" t="s">
        <v>11</v>
      </c>
      <c r="C98" s="1">
        <v>45608</v>
      </c>
      <c r="D98" s="4">
        <v>7.59</v>
      </c>
      <c r="E98" s="4">
        <v>7.96</v>
      </c>
      <c r="F98" s="4">
        <v>7.59</v>
      </c>
      <c r="G98" s="4">
        <v>7.83</v>
      </c>
      <c r="H98" s="4">
        <v>210416</v>
      </c>
      <c r="I98" s="4">
        <v>600.72</v>
      </c>
      <c r="J98" s="4">
        <v>76720810</v>
      </c>
      <c r="M98">
        <f t="shared" si="3"/>
        <v>19.810624999999998</v>
      </c>
      <c r="N98" s="5">
        <f t="shared" si="4"/>
        <v>7.3435504469987228E-2</v>
      </c>
      <c r="O98" s="8">
        <f t="shared" si="5"/>
        <v>7.8299486149846436</v>
      </c>
    </row>
    <row r="99" spans="1:15" ht="15" customHeight="1" x14ac:dyDescent="0.25">
      <c r="A99" t="s">
        <v>10</v>
      </c>
      <c r="B99" t="s">
        <v>11</v>
      </c>
      <c r="C99" s="1">
        <v>45609</v>
      </c>
      <c r="D99" s="4">
        <v>7.54</v>
      </c>
      <c r="E99" s="4">
        <v>7.82</v>
      </c>
      <c r="F99" s="4">
        <v>7.54</v>
      </c>
      <c r="G99" s="4">
        <v>7.78</v>
      </c>
      <c r="H99" s="4">
        <v>37761</v>
      </c>
      <c r="I99" s="4">
        <v>596.89</v>
      </c>
      <c r="J99" s="4">
        <v>76720810</v>
      </c>
      <c r="M99">
        <f t="shared" si="3"/>
        <v>19.684120370370369</v>
      </c>
      <c r="N99" s="5">
        <f t="shared" si="4"/>
        <v>7.3907455012853465E-2</v>
      </c>
      <c r="O99" s="8">
        <f t="shared" si="5"/>
        <v>7.7800273485120917</v>
      </c>
    </row>
    <row r="100" spans="1:15" ht="15" customHeight="1" x14ac:dyDescent="0.25">
      <c r="A100" t="s">
        <v>10</v>
      </c>
      <c r="B100" t="s">
        <v>11</v>
      </c>
      <c r="C100" s="1">
        <v>45610</v>
      </c>
      <c r="D100" s="4">
        <v>7.7</v>
      </c>
      <c r="E100" s="4">
        <v>7.79</v>
      </c>
      <c r="F100" s="4">
        <v>7.6849999999999996</v>
      </c>
      <c r="G100" s="4">
        <v>7.75</v>
      </c>
      <c r="H100" s="4">
        <v>57848</v>
      </c>
      <c r="I100" s="4">
        <v>594.59</v>
      </c>
      <c r="J100" s="4">
        <v>76720810</v>
      </c>
      <c r="M100">
        <f t="shared" si="3"/>
        <v>19.608217592592592</v>
      </c>
      <c r="N100" s="5">
        <f t="shared" si="4"/>
        <v>7.4193548387096769E-2</v>
      </c>
      <c r="O100" s="8">
        <f t="shared" si="5"/>
        <v>7.7500485200821005</v>
      </c>
    </row>
    <row r="101" spans="1:15" ht="15" customHeight="1" x14ac:dyDescent="0.25">
      <c r="A101" t="s">
        <v>10</v>
      </c>
      <c r="B101" t="s">
        <v>11</v>
      </c>
      <c r="C101" s="1">
        <v>45611</v>
      </c>
      <c r="D101" s="4">
        <v>7.79</v>
      </c>
      <c r="E101" s="4">
        <v>8</v>
      </c>
      <c r="F101" s="4">
        <v>7.63</v>
      </c>
      <c r="G101" s="4">
        <v>7.92</v>
      </c>
      <c r="H101" s="4">
        <v>129795</v>
      </c>
      <c r="I101" s="4">
        <v>607.63</v>
      </c>
      <c r="J101" s="4">
        <v>76720810</v>
      </c>
      <c r="M101">
        <f t="shared" si="3"/>
        <v>20.038333333333334</v>
      </c>
      <c r="N101" s="5">
        <f t="shared" si="4"/>
        <v>7.2601010101010097E-2</v>
      </c>
      <c r="O101" s="8">
        <f t="shared" si="5"/>
        <v>7.9200154430069238</v>
      </c>
    </row>
    <row r="102" spans="1:15" ht="15" customHeight="1" x14ac:dyDescent="0.25">
      <c r="A102" t="s">
        <v>10</v>
      </c>
      <c r="B102" t="s">
        <v>11</v>
      </c>
      <c r="C102" s="1">
        <v>45614</v>
      </c>
      <c r="D102" s="4">
        <v>7.95</v>
      </c>
      <c r="E102" s="4">
        <v>8.0500000000000007</v>
      </c>
      <c r="F102" s="4">
        <v>7.75</v>
      </c>
      <c r="G102" s="4">
        <v>7.91</v>
      </c>
      <c r="H102" s="4">
        <v>85518</v>
      </c>
      <c r="I102" s="4">
        <v>606.86</v>
      </c>
      <c r="J102" s="4">
        <v>76720810</v>
      </c>
      <c r="M102">
        <f t="shared" si="3"/>
        <v>20.013032407407408</v>
      </c>
      <c r="N102" s="5">
        <f t="shared" si="4"/>
        <v>7.2692793931731975E-2</v>
      </c>
      <c r="O102" s="8">
        <f t="shared" si="5"/>
        <v>7.9099790526194917</v>
      </c>
    </row>
    <row r="103" spans="1:15" ht="15" customHeight="1" x14ac:dyDescent="0.25">
      <c r="A103" t="s">
        <v>10</v>
      </c>
      <c r="B103" t="s">
        <v>11</v>
      </c>
      <c r="C103" s="1">
        <v>45615</v>
      </c>
      <c r="D103" s="4">
        <v>8.0500000000000007</v>
      </c>
      <c r="E103" s="4">
        <v>8.1199999999999992</v>
      </c>
      <c r="F103" s="4">
        <v>8</v>
      </c>
      <c r="G103" s="4">
        <v>8.01</v>
      </c>
      <c r="H103" s="4">
        <v>72454</v>
      </c>
      <c r="I103" s="4">
        <v>614.53</v>
      </c>
      <c r="J103" s="4">
        <v>76720810</v>
      </c>
      <c r="M103">
        <f t="shared" si="3"/>
        <v>20.266041666666666</v>
      </c>
      <c r="N103" s="5">
        <f t="shared" si="4"/>
        <v>7.1785268414481893E-2</v>
      </c>
      <c r="O103" s="8">
        <f t="shared" si="5"/>
        <v>8.0099519282968981</v>
      </c>
    </row>
    <row r="104" spans="1:15" ht="15" customHeight="1" x14ac:dyDescent="0.25">
      <c r="A104" t="s">
        <v>10</v>
      </c>
      <c r="B104" t="s">
        <v>11</v>
      </c>
      <c r="C104" s="1">
        <v>45616</v>
      </c>
      <c r="D104" s="4">
        <v>7.99</v>
      </c>
      <c r="E104" s="4">
        <v>8.01</v>
      </c>
      <c r="F104" s="4">
        <v>7.77</v>
      </c>
      <c r="G104" s="4">
        <v>7.77</v>
      </c>
      <c r="H104" s="4">
        <v>37779</v>
      </c>
      <c r="I104" s="4">
        <v>596.12</v>
      </c>
      <c r="J104" s="4">
        <v>76720810</v>
      </c>
      <c r="M104">
        <f t="shared" si="3"/>
        <v>19.658819444444443</v>
      </c>
      <c r="N104" s="5">
        <f t="shared" si="4"/>
        <v>7.4002574002573998E-2</v>
      </c>
      <c r="O104" s="8">
        <f t="shared" si="5"/>
        <v>7.7699909581246605</v>
      </c>
    </row>
    <row r="105" spans="1:15" ht="15" customHeight="1" x14ac:dyDescent="0.25">
      <c r="A105" t="s">
        <v>10</v>
      </c>
      <c r="B105" t="s">
        <v>11</v>
      </c>
      <c r="C105" s="1">
        <v>45617</v>
      </c>
      <c r="D105" s="4">
        <v>7.77</v>
      </c>
      <c r="E105" s="4">
        <v>7.77</v>
      </c>
      <c r="F105" s="4">
        <v>7.46</v>
      </c>
      <c r="G105" s="4">
        <v>7.46</v>
      </c>
      <c r="H105" s="4">
        <v>77179</v>
      </c>
      <c r="I105" s="4">
        <v>572.34</v>
      </c>
      <c r="J105" s="4">
        <v>76720810</v>
      </c>
      <c r="M105">
        <f t="shared" si="3"/>
        <v>18.87449074074074</v>
      </c>
      <c r="N105" s="5">
        <f t="shared" si="4"/>
        <v>7.7077747989276135E-2</v>
      </c>
      <c r="O105" s="8">
        <f t="shared" si="5"/>
        <v>7.4600359407050059</v>
      </c>
    </row>
    <row r="106" spans="1:15" ht="15" customHeight="1" x14ac:dyDescent="0.25">
      <c r="A106" t="s">
        <v>10</v>
      </c>
      <c r="B106" t="s">
        <v>11</v>
      </c>
      <c r="C106" s="1">
        <v>45618</v>
      </c>
      <c r="D106" s="4">
        <v>7.45</v>
      </c>
      <c r="E106" s="4">
        <v>7.49</v>
      </c>
      <c r="F106" s="4">
        <v>7.33</v>
      </c>
      <c r="G106" s="4">
        <v>7.44</v>
      </c>
      <c r="H106" s="4">
        <v>109294</v>
      </c>
      <c r="I106" s="4">
        <v>570.79999999999995</v>
      </c>
      <c r="J106" s="4">
        <v>76720810</v>
      </c>
      <c r="M106">
        <f t="shared" si="3"/>
        <v>18.823888888888888</v>
      </c>
      <c r="N106" s="5">
        <f t="shared" si="4"/>
        <v>7.7284946236559127E-2</v>
      </c>
      <c r="O106" s="8">
        <f t="shared" si="5"/>
        <v>7.4399631599301417</v>
      </c>
    </row>
    <row r="107" spans="1:15" ht="15" customHeight="1" x14ac:dyDescent="0.25">
      <c r="A107" t="s">
        <v>10</v>
      </c>
      <c r="B107" t="s">
        <v>11</v>
      </c>
      <c r="C107" s="1">
        <v>45621</v>
      </c>
      <c r="D107" s="4">
        <v>7.46</v>
      </c>
      <c r="E107" s="4">
        <v>7.5</v>
      </c>
      <c r="F107" s="4">
        <v>7.22</v>
      </c>
      <c r="G107" s="4">
        <v>7.46</v>
      </c>
      <c r="H107" s="4">
        <v>284915</v>
      </c>
      <c r="I107" s="4">
        <v>572.34</v>
      </c>
      <c r="J107" s="4">
        <v>76720810</v>
      </c>
      <c r="M107">
        <f t="shared" si="3"/>
        <v>18.87449074074074</v>
      </c>
      <c r="N107" s="5">
        <f t="shared" si="4"/>
        <v>7.7077747989276135E-2</v>
      </c>
      <c r="O107" s="8">
        <f t="shared" si="5"/>
        <v>7.4600359407050059</v>
      </c>
    </row>
    <row r="108" spans="1:15" ht="15" customHeight="1" x14ac:dyDescent="0.25">
      <c r="A108" t="s">
        <v>10</v>
      </c>
      <c r="B108" t="s">
        <v>11</v>
      </c>
      <c r="C108" s="1">
        <v>45622</v>
      </c>
      <c r="D108" s="4">
        <v>7.45</v>
      </c>
      <c r="E108" s="4">
        <v>7.78</v>
      </c>
      <c r="F108" s="4">
        <v>7.44</v>
      </c>
      <c r="G108" s="4">
        <v>7.66</v>
      </c>
      <c r="H108" s="4">
        <v>128668</v>
      </c>
      <c r="I108" s="4">
        <v>587.67999999999995</v>
      </c>
      <c r="J108" s="4">
        <v>76720810</v>
      </c>
      <c r="M108">
        <f t="shared" si="3"/>
        <v>19.380509259259259</v>
      </c>
      <c r="N108" s="5">
        <f t="shared" si="4"/>
        <v>7.5065274151436018E-2</v>
      </c>
      <c r="O108" s="8">
        <f t="shared" si="5"/>
        <v>7.6599816920598203</v>
      </c>
    </row>
    <row r="109" spans="1:15" ht="15" customHeight="1" x14ac:dyDescent="0.25">
      <c r="A109" t="s">
        <v>10</v>
      </c>
      <c r="B109" t="s">
        <v>11</v>
      </c>
      <c r="C109" s="1">
        <v>45623</v>
      </c>
      <c r="D109" s="4">
        <v>7.65</v>
      </c>
      <c r="E109" s="4">
        <v>7.78</v>
      </c>
      <c r="F109" s="4">
        <v>7.57</v>
      </c>
      <c r="G109" s="4">
        <v>7.66</v>
      </c>
      <c r="H109" s="4">
        <v>33205</v>
      </c>
      <c r="I109" s="4">
        <v>587.67999999999995</v>
      </c>
      <c r="J109" s="4">
        <v>76720810</v>
      </c>
      <c r="M109">
        <f t="shared" si="3"/>
        <v>19.380509259259259</v>
      </c>
      <c r="N109" s="5">
        <f t="shared" si="4"/>
        <v>7.5065274151436018E-2</v>
      </c>
      <c r="O109" s="8">
        <f t="shared" si="5"/>
        <v>7.6599816920598203</v>
      </c>
    </row>
    <row r="110" spans="1:15" ht="15" customHeight="1" x14ac:dyDescent="0.25">
      <c r="A110" t="s">
        <v>10</v>
      </c>
      <c r="B110" t="s">
        <v>11</v>
      </c>
      <c r="C110" s="1">
        <v>45624</v>
      </c>
      <c r="D110" s="4">
        <v>7.65</v>
      </c>
      <c r="E110" s="4">
        <v>7.72</v>
      </c>
      <c r="F110" s="4">
        <v>7.55</v>
      </c>
      <c r="G110" s="4">
        <v>7.55</v>
      </c>
      <c r="H110" s="4">
        <v>25958</v>
      </c>
      <c r="I110" s="4">
        <v>579.24</v>
      </c>
      <c r="J110" s="4">
        <v>76720810</v>
      </c>
      <c r="M110">
        <f t="shared" si="3"/>
        <v>19.102199074074072</v>
      </c>
      <c r="N110" s="5">
        <f t="shared" si="4"/>
        <v>7.6158940397350994E-2</v>
      </c>
      <c r="O110" s="8">
        <f t="shared" si="5"/>
        <v>7.549972425994981</v>
      </c>
    </row>
    <row r="111" spans="1:15" ht="15" customHeight="1" x14ac:dyDescent="0.25">
      <c r="A111" t="s">
        <v>10</v>
      </c>
      <c r="B111" t="s">
        <v>11</v>
      </c>
      <c r="C111" s="1">
        <v>45625</v>
      </c>
      <c r="D111" s="4">
        <v>7.42</v>
      </c>
      <c r="E111" s="4">
        <v>7.87</v>
      </c>
      <c r="F111" s="4">
        <v>7.42</v>
      </c>
      <c r="G111" s="4">
        <v>7.8</v>
      </c>
      <c r="H111" s="4">
        <v>78703</v>
      </c>
      <c r="I111" s="4">
        <v>598.41999999999996</v>
      </c>
      <c r="J111" s="4">
        <v>76720810</v>
      </c>
      <c r="M111">
        <f t="shared" si="3"/>
        <v>19.734722222222221</v>
      </c>
      <c r="N111" s="5">
        <f t="shared" si="4"/>
        <v>7.371794871794872E-2</v>
      </c>
      <c r="O111" s="8">
        <f t="shared" si="5"/>
        <v>7.7999697865546516</v>
      </c>
    </row>
    <row r="112" spans="1:15" ht="15" customHeight="1" x14ac:dyDescent="0.25">
      <c r="A112" t="s">
        <v>10</v>
      </c>
      <c r="B112" t="s">
        <v>11</v>
      </c>
      <c r="C112" s="1">
        <v>45628</v>
      </c>
      <c r="D112" s="4">
        <v>7.85</v>
      </c>
      <c r="E112" s="4">
        <v>7.92</v>
      </c>
      <c r="F112" s="4">
        <v>7.56</v>
      </c>
      <c r="G112" s="4">
        <v>7.66</v>
      </c>
      <c r="H112" s="4">
        <v>77338</v>
      </c>
      <c r="I112" s="4">
        <v>587.67999999999995</v>
      </c>
      <c r="J112" s="4">
        <v>76720810</v>
      </c>
      <c r="M112">
        <f t="shared" si="3"/>
        <v>19.380509259259259</v>
      </c>
      <c r="N112" s="5">
        <f t="shared" si="4"/>
        <v>7.5065274151436018E-2</v>
      </c>
      <c r="O112" s="8">
        <f t="shared" si="5"/>
        <v>7.6599816920598203</v>
      </c>
    </row>
    <row r="113" spans="1:15" ht="15" customHeight="1" x14ac:dyDescent="0.25">
      <c r="A113" t="s">
        <v>10</v>
      </c>
      <c r="B113" t="s">
        <v>11</v>
      </c>
      <c r="C113" s="1">
        <v>45629</v>
      </c>
      <c r="D113" s="4">
        <v>7.65</v>
      </c>
      <c r="E113" s="4">
        <v>7.92</v>
      </c>
      <c r="F113" s="4">
        <v>7.65</v>
      </c>
      <c r="G113" s="4">
        <v>7.9</v>
      </c>
      <c r="H113" s="4">
        <v>96348</v>
      </c>
      <c r="I113" s="4">
        <v>606.09</v>
      </c>
      <c r="J113" s="4">
        <v>76720810</v>
      </c>
      <c r="M113">
        <f t="shared" si="3"/>
        <v>19.987731481481482</v>
      </c>
      <c r="N113" s="5">
        <f t="shared" si="4"/>
        <v>7.2784810126582264E-2</v>
      </c>
      <c r="O113" s="8">
        <f t="shared" si="5"/>
        <v>7.8999426622320597</v>
      </c>
    </row>
    <row r="114" spans="1:15" ht="15" customHeight="1" x14ac:dyDescent="0.25">
      <c r="A114" t="s">
        <v>10</v>
      </c>
      <c r="B114" t="s">
        <v>11</v>
      </c>
      <c r="C114" s="1">
        <v>45630</v>
      </c>
      <c r="D114" s="4">
        <v>7.81</v>
      </c>
      <c r="E114" s="4">
        <v>8.1</v>
      </c>
      <c r="F114" s="4">
        <v>7.73</v>
      </c>
      <c r="G114" s="4">
        <v>8.08</v>
      </c>
      <c r="H114" s="4">
        <v>82275</v>
      </c>
      <c r="I114" s="4">
        <v>619.9</v>
      </c>
      <c r="J114" s="4">
        <v>76720810</v>
      </c>
      <c r="M114">
        <f t="shared" si="3"/>
        <v>20.443148148148147</v>
      </c>
      <c r="N114" s="5">
        <f t="shared" si="4"/>
        <v>7.1163366336633657E-2</v>
      </c>
      <c r="O114" s="8">
        <f t="shared" si="5"/>
        <v>8.0799459755443142</v>
      </c>
    </row>
    <row r="115" spans="1:15" ht="15" customHeight="1" x14ac:dyDescent="0.25">
      <c r="A115" t="s">
        <v>10</v>
      </c>
      <c r="B115" t="s">
        <v>11</v>
      </c>
      <c r="C115" s="1">
        <v>45631</v>
      </c>
      <c r="D115" s="4">
        <v>8.08</v>
      </c>
      <c r="E115" s="4">
        <v>8.24</v>
      </c>
      <c r="F115" s="4">
        <v>8.07</v>
      </c>
      <c r="G115" s="4">
        <v>8.14</v>
      </c>
      <c r="H115" s="4">
        <v>247348</v>
      </c>
      <c r="I115" s="4">
        <v>624.51</v>
      </c>
      <c r="J115" s="4">
        <v>76720810</v>
      </c>
      <c r="M115">
        <f t="shared" si="3"/>
        <v>20.594953703703705</v>
      </c>
      <c r="N115" s="5">
        <f t="shared" si="4"/>
        <v>7.0638820638820626E-2</v>
      </c>
      <c r="O115" s="8">
        <f t="shared" si="5"/>
        <v>8.1400339751366033</v>
      </c>
    </row>
    <row r="116" spans="1:15" ht="15" customHeight="1" x14ac:dyDescent="0.25">
      <c r="A116" t="s">
        <v>10</v>
      </c>
      <c r="B116" t="s">
        <v>11</v>
      </c>
      <c r="C116" s="1">
        <v>45632</v>
      </c>
      <c r="D116" s="4">
        <v>8.14</v>
      </c>
      <c r="E116" s="4">
        <v>8.25</v>
      </c>
      <c r="F116" s="4">
        <v>8.01</v>
      </c>
      <c r="G116" s="4">
        <v>8.06</v>
      </c>
      <c r="H116" s="4">
        <v>256540</v>
      </c>
      <c r="I116" s="4">
        <v>618.37</v>
      </c>
      <c r="J116" s="4">
        <v>76720810</v>
      </c>
      <c r="M116">
        <f t="shared" si="3"/>
        <v>20.392546296296295</v>
      </c>
      <c r="N116" s="5">
        <f t="shared" si="4"/>
        <v>7.133995037220843E-2</v>
      </c>
      <c r="O116" s="8">
        <f t="shared" si="5"/>
        <v>8.0600035375017551</v>
      </c>
    </row>
    <row r="117" spans="1:15" ht="15" customHeight="1" x14ac:dyDescent="0.25">
      <c r="A117" t="s">
        <v>10</v>
      </c>
      <c r="B117" t="s">
        <v>11</v>
      </c>
      <c r="C117" s="1">
        <v>45635</v>
      </c>
      <c r="D117" s="4">
        <v>8.1</v>
      </c>
      <c r="E117" s="4">
        <v>8.15</v>
      </c>
      <c r="F117" s="4">
        <v>7.91</v>
      </c>
      <c r="G117" s="4">
        <v>8</v>
      </c>
      <c r="H117" s="4">
        <v>109113</v>
      </c>
      <c r="I117" s="4">
        <v>613.77</v>
      </c>
      <c r="J117" s="4">
        <v>76720810</v>
      </c>
      <c r="M117">
        <f t="shared" si="3"/>
        <v>20.24074074074074</v>
      </c>
      <c r="N117" s="5">
        <f t="shared" si="4"/>
        <v>7.1874999999999994E-2</v>
      </c>
      <c r="O117" s="8">
        <f t="shared" si="5"/>
        <v>8.0000458806417711</v>
      </c>
    </row>
    <row r="118" spans="1:15" ht="15" customHeight="1" x14ac:dyDescent="0.25">
      <c r="A118" t="s">
        <v>10</v>
      </c>
      <c r="B118" t="s">
        <v>11</v>
      </c>
      <c r="C118" s="1">
        <v>45636</v>
      </c>
      <c r="D118" s="4">
        <v>7.99</v>
      </c>
      <c r="E118" s="4">
        <v>8.0500000000000007</v>
      </c>
      <c r="F118" s="4">
        <v>7.76</v>
      </c>
      <c r="G118" s="4">
        <v>7.82</v>
      </c>
      <c r="H118" s="4">
        <v>127838</v>
      </c>
      <c r="I118" s="4">
        <v>599.96</v>
      </c>
      <c r="J118" s="4">
        <v>76720810</v>
      </c>
      <c r="M118">
        <f t="shared" si="3"/>
        <v>19.785324074074072</v>
      </c>
      <c r="N118" s="5">
        <f t="shared" si="4"/>
        <v>7.3529411764705871E-2</v>
      </c>
      <c r="O118" s="8">
        <f t="shared" si="5"/>
        <v>7.8200425673295157</v>
      </c>
    </row>
    <row r="119" spans="1:15" ht="15" customHeight="1" x14ac:dyDescent="0.25">
      <c r="A119" t="s">
        <v>10</v>
      </c>
      <c r="B119" t="s">
        <v>11</v>
      </c>
      <c r="C119" s="1">
        <v>45637</v>
      </c>
      <c r="D119" s="4">
        <v>7.73</v>
      </c>
      <c r="E119" s="4">
        <v>7.835</v>
      </c>
      <c r="F119" s="4">
        <v>7.66</v>
      </c>
      <c r="G119" s="4">
        <v>7.74</v>
      </c>
      <c r="H119" s="4">
        <v>54670</v>
      </c>
      <c r="I119" s="4">
        <v>593.82000000000005</v>
      </c>
      <c r="J119" s="4">
        <v>76720810</v>
      </c>
      <c r="M119">
        <f t="shared" si="3"/>
        <v>19.582916666666666</v>
      </c>
      <c r="N119" s="5">
        <f t="shared" si="4"/>
        <v>7.428940568475452E-2</v>
      </c>
      <c r="O119" s="8">
        <f t="shared" si="5"/>
        <v>7.7400121296946685</v>
      </c>
    </row>
    <row r="120" spans="1:15" ht="15" customHeight="1" x14ac:dyDescent="0.25">
      <c r="A120" t="s">
        <v>10</v>
      </c>
      <c r="B120" t="s">
        <v>11</v>
      </c>
      <c r="C120" s="1">
        <v>45638</v>
      </c>
      <c r="D120" s="4">
        <v>7.68</v>
      </c>
      <c r="E120" s="4">
        <v>7.88</v>
      </c>
      <c r="F120" s="4">
        <v>7.68</v>
      </c>
      <c r="G120" s="4">
        <v>7.79</v>
      </c>
      <c r="H120" s="4">
        <v>58301</v>
      </c>
      <c r="I120" s="4">
        <v>597.66</v>
      </c>
      <c r="J120" s="4">
        <v>76720810</v>
      </c>
      <c r="M120">
        <f t="shared" si="3"/>
        <v>19.709421296296295</v>
      </c>
      <c r="N120" s="5">
        <f t="shared" si="4"/>
        <v>7.3812580231065461E-2</v>
      </c>
      <c r="O120" s="8">
        <f t="shared" si="5"/>
        <v>7.7900637388995237</v>
      </c>
    </row>
    <row r="121" spans="1:15" ht="15" customHeight="1" x14ac:dyDescent="0.25">
      <c r="A121" t="s">
        <v>10</v>
      </c>
      <c r="B121" t="s">
        <v>11</v>
      </c>
      <c r="C121" s="1">
        <v>45639</v>
      </c>
      <c r="D121" s="4">
        <v>7.78</v>
      </c>
      <c r="E121" s="4">
        <v>7.84</v>
      </c>
      <c r="F121" s="4">
        <v>7.72</v>
      </c>
      <c r="G121" s="4">
        <v>7.73</v>
      </c>
      <c r="H121" s="4">
        <v>120799</v>
      </c>
      <c r="I121" s="4">
        <v>593.04999999999995</v>
      </c>
      <c r="J121" s="4">
        <v>76720810</v>
      </c>
      <c r="M121">
        <f t="shared" si="3"/>
        <v>19.55761574074074</v>
      </c>
      <c r="N121" s="5">
        <f t="shared" si="4"/>
        <v>7.4385510996119009E-2</v>
      </c>
      <c r="O121" s="8">
        <f t="shared" si="5"/>
        <v>7.7299757393072364</v>
      </c>
    </row>
    <row r="122" spans="1:15" ht="15" customHeight="1" x14ac:dyDescent="0.25">
      <c r="A122" t="s">
        <v>10</v>
      </c>
      <c r="B122" t="s">
        <v>11</v>
      </c>
      <c r="C122" s="1">
        <v>45642</v>
      </c>
      <c r="D122" s="4">
        <v>7.72</v>
      </c>
      <c r="E122" s="4">
        <v>7.9</v>
      </c>
      <c r="F122" s="4">
        <v>7.72</v>
      </c>
      <c r="G122" s="4">
        <v>7.78</v>
      </c>
      <c r="H122" s="4">
        <v>59312</v>
      </c>
      <c r="I122" s="4">
        <v>596.89</v>
      </c>
      <c r="J122" s="4">
        <v>76720810</v>
      </c>
      <c r="M122">
        <f t="shared" si="3"/>
        <v>19.684120370370369</v>
      </c>
      <c r="N122" s="5">
        <f t="shared" si="4"/>
        <v>7.3907455012853465E-2</v>
      </c>
      <c r="O122" s="8">
        <f t="shared" si="5"/>
        <v>7.7800273485120917</v>
      </c>
    </row>
    <row r="123" spans="1:15" ht="15" customHeight="1" x14ac:dyDescent="0.25">
      <c r="A123" t="s">
        <v>10</v>
      </c>
      <c r="B123" t="s">
        <v>11</v>
      </c>
      <c r="C123" s="1">
        <v>45643</v>
      </c>
      <c r="D123" s="4">
        <v>7.76</v>
      </c>
      <c r="E123" s="4">
        <v>8.0399999999999991</v>
      </c>
      <c r="F123" s="4">
        <v>7.75</v>
      </c>
      <c r="G123" s="4">
        <v>8.02</v>
      </c>
      <c r="H123" s="4">
        <v>131056</v>
      </c>
      <c r="I123" s="4">
        <v>615.29999999999995</v>
      </c>
      <c r="J123" s="4">
        <v>76720810</v>
      </c>
      <c r="M123">
        <f t="shared" si="3"/>
        <v>20.291342592592592</v>
      </c>
      <c r="N123" s="5">
        <f t="shared" si="4"/>
        <v>7.1695760598503744E-2</v>
      </c>
      <c r="O123" s="8">
        <f t="shared" si="5"/>
        <v>8.0199883186843302</v>
      </c>
    </row>
    <row r="124" spans="1:15" ht="15" customHeight="1" x14ac:dyDescent="0.25">
      <c r="A124" t="s">
        <v>10</v>
      </c>
      <c r="B124" t="s">
        <v>11</v>
      </c>
      <c r="C124" s="1">
        <v>45644</v>
      </c>
      <c r="D124" s="4">
        <v>8.02</v>
      </c>
      <c r="E124" s="4">
        <v>8.11</v>
      </c>
      <c r="F124" s="4">
        <v>7.97</v>
      </c>
      <c r="G124" s="4">
        <v>8.0399999999999991</v>
      </c>
      <c r="H124" s="4">
        <v>133367</v>
      </c>
      <c r="I124" s="4">
        <v>616.84</v>
      </c>
      <c r="J124" s="4">
        <v>76720810</v>
      </c>
      <c r="M124">
        <f t="shared" si="3"/>
        <v>20.34194444444444</v>
      </c>
      <c r="N124" s="5">
        <f t="shared" si="4"/>
        <v>7.1517412935323391E-2</v>
      </c>
      <c r="O124" s="8">
        <f t="shared" si="5"/>
        <v>8.0400610994591943</v>
      </c>
    </row>
    <row r="125" spans="1:15" ht="15" customHeight="1" x14ac:dyDescent="0.25">
      <c r="A125" t="s">
        <v>10</v>
      </c>
      <c r="B125" t="s">
        <v>11</v>
      </c>
      <c r="C125" s="1">
        <v>45645</v>
      </c>
      <c r="D125" s="4">
        <v>7.87</v>
      </c>
      <c r="E125" s="4">
        <v>7.97</v>
      </c>
      <c r="F125" s="4">
        <v>7.83</v>
      </c>
      <c r="G125" s="4">
        <v>7.94</v>
      </c>
      <c r="H125" s="4">
        <v>46797</v>
      </c>
      <c r="I125" s="4">
        <v>609.16</v>
      </c>
      <c r="J125" s="4">
        <v>76720810</v>
      </c>
      <c r="M125">
        <f t="shared" si="3"/>
        <v>20.088935185185186</v>
      </c>
      <c r="N125" s="5">
        <f t="shared" si="4"/>
        <v>7.2418136020151125E-2</v>
      </c>
      <c r="O125" s="8">
        <f t="shared" si="5"/>
        <v>7.9399578810494829</v>
      </c>
    </row>
    <row r="126" spans="1:15" ht="15" customHeight="1" x14ac:dyDescent="0.25">
      <c r="A126" t="s">
        <v>10</v>
      </c>
      <c r="B126" t="s">
        <v>11</v>
      </c>
      <c r="C126" s="1">
        <v>45646</v>
      </c>
      <c r="D126" s="4">
        <v>7.84</v>
      </c>
      <c r="E126" s="4">
        <v>8.0500000000000007</v>
      </c>
      <c r="F126" s="4">
        <v>7.73</v>
      </c>
      <c r="G126" s="4">
        <v>7.97</v>
      </c>
      <c r="H126" s="4">
        <v>80796</v>
      </c>
      <c r="I126" s="4">
        <v>611.46</v>
      </c>
      <c r="J126" s="4">
        <v>76720810</v>
      </c>
      <c r="M126">
        <f t="shared" si="3"/>
        <v>20.164837962962963</v>
      </c>
      <c r="N126" s="5">
        <f t="shared" si="4"/>
        <v>7.2145545796737764E-2</v>
      </c>
      <c r="O126" s="8">
        <f t="shared" si="5"/>
        <v>7.9699367094794749</v>
      </c>
    </row>
    <row r="127" spans="1:15" ht="15" customHeight="1" x14ac:dyDescent="0.25">
      <c r="A127" t="s">
        <v>10</v>
      </c>
      <c r="B127" t="s">
        <v>11</v>
      </c>
      <c r="C127" s="1">
        <v>45649</v>
      </c>
      <c r="D127" s="4">
        <v>7.83</v>
      </c>
      <c r="E127" s="4">
        <v>8.0299999999999994</v>
      </c>
      <c r="F127" s="4">
        <v>7.82</v>
      </c>
      <c r="G127" s="4">
        <v>8.02</v>
      </c>
      <c r="H127" s="4">
        <v>92194</v>
      </c>
      <c r="I127" s="4">
        <v>615.29999999999995</v>
      </c>
      <c r="J127" s="4">
        <v>76720810</v>
      </c>
      <c r="M127">
        <f t="shared" si="3"/>
        <v>20.291342592592592</v>
      </c>
      <c r="N127" s="5">
        <f t="shared" si="4"/>
        <v>7.1695760598503744E-2</v>
      </c>
      <c r="O127" s="8">
        <f t="shared" si="5"/>
        <v>8.0199883186843302</v>
      </c>
    </row>
    <row r="128" spans="1:15" ht="15" customHeight="1" x14ac:dyDescent="0.25">
      <c r="A128" t="s">
        <v>10</v>
      </c>
      <c r="B128" t="s">
        <v>11</v>
      </c>
      <c r="C128" s="1">
        <v>45650</v>
      </c>
      <c r="D128" s="4">
        <v>7.85</v>
      </c>
      <c r="E128" s="4">
        <v>8.14</v>
      </c>
      <c r="F128" s="4">
        <v>7.85</v>
      </c>
      <c r="G128" s="4">
        <v>8.14</v>
      </c>
      <c r="H128" s="4">
        <v>47866</v>
      </c>
      <c r="I128" s="4">
        <v>624.51</v>
      </c>
      <c r="J128" s="4">
        <v>76720810</v>
      </c>
      <c r="M128">
        <f t="shared" si="3"/>
        <v>20.594953703703705</v>
      </c>
      <c r="N128" s="5">
        <f t="shared" si="4"/>
        <v>7.0638820638820626E-2</v>
      </c>
      <c r="O128" s="8">
        <f t="shared" si="5"/>
        <v>8.1400339751366033</v>
      </c>
    </row>
    <row r="129" spans="1:15" ht="15" customHeight="1" x14ac:dyDescent="0.25">
      <c r="A129" t="s">
        <v>10</v>
      </c>
      <c r="B129" t="s">
        <v>11</v>
      </c>
      <c r="C129" s="1">
        <v>45653</v>
      </c>
      <c r="D129" s="4">
        <v>8.14</v>
      </c>
      <c r="E129" s="4">
        <v>8.43</v>
      </c>
      <c r="F129" s="4">
        <v>8.14</v>
      </c>
      <c r="G129" s="4">
        <v>8.39</v>
      </c>
      <c r="H129" s="4">
        <v>386522</v>
      </c>
      <c r="I129" s="4">
        <v>643.69000000000005</v>
      </c>
      <c r="J129" s="4">
        <v>76720810</v>
      </c>
      <c r="M129">
        <f t="shared" si="3"/>
        <v>21.227476851851851</v>
      </c>
      <c r="N129" s="5">
        <f t="shared" si="4"/>
        <v>6.8533969010727044E-2</v>
      </c>
      <c r="O129" s="8">
        <f t="shared" si="5"/>
        <v>8.390031335696273</v>
      </c>
    </row>
    <row r="130" spans="1:15" ht="15" customHeight="1" x14ac:dyDescent="0.25">
      <c r="A130" t="s">
        <v>10</v>
      </c>
      <c r="B130" t="s">
        <v>11</v>
      </c>
      <c r="C130" s="1">
        <v>45656</v>
      </c>
      <c r="D130" s="4">
        <v>8.3000000000000007</v>
      </c>
      <c r="E130" s="4">
        <v>8.43</v>
      </c>
      <c r="F130" s="4">
        <v>8.2200000000000006</v>
      </c>
      <c r="G130" s="4">
        <v>8.31</v>
      </c>
      <c r="H130" s="4">
        <v>75209</v>
      </c>
      <c r="I130" s="4">
        <v>637.54999999999995</v>
      </c>
      <c r="J130" s="4">
        <v>76720810</v>
      </c>
      <c r="M130">
        <f t="shared" si="3"/>
        <v>21.025069444444444</v>
      </c>
      <c r="N130" s="5">
        <f t="shared" si="4"/>
        <v>6.9193742478941028E-2</v>
      </c>
      <c r="O130" s="8">
        <f t="shared" si="5"/>
        <v>8.3100008980614248</v>
      </c>
    </row>
    <row r="131" spans="1:15" ht="15" customHeight="1" x14ac:dyDescent="0.25">
      <c r="A131" t="s">
        <v>10</v>
      </c>
      <c r="B131" t="s">
        <v>11</v>
      </c>
      <c r="C131" s="1">
        <v>45657</v>
      </c>
      <c r="D131" s="4">
        <v>8.2799999999999994</v>
      </c>
      <c r="E131" s="4">
        <v>8.58</v>
      </c>
      <c r="F131" s="4">
        <v>8.1</v>
      </c>
      <c r="G131" s="4">
        <v>8.58</v>
      </c>
      <c r="H131" s="4">
        <v>26154</v>
      </c>
      <c r="I131" s="4">
        <v>658.26</v>
      </c>
      <c r="J131" s="4">
        <v>76720810</v>
      </c>
      <c r="M131">
        <f t="shared" ref="M131:M194" si="6">G131/$L$2</f>
        <v>21.708194444444445</v>
      </c>
      <c r="N131" s="5">
        <f t="shared" ref="N131:N194" si="7">$K$2/G131</f>
        <v>6.7016317016317009E-2</v>
      </c>
      <c r="O131" s="8">
        <f t="shared" ref="O131:O194" si="8">I131 * 1000000 / J131</f>
        <v>8.5799406966636553</v>
      </c>
    </row>
    <row r="132" spans="1:15" ht="15" customHeight="1" x14ac:dyDescent="0.25">
      <c r="A132" t="s">
        <v>10</v>
      </c>
      <c r="B132" t="s">
        <v>11</v>
      </c>
      <c r="C132" s="1">
        <v>45659</v>
      </c>
      <c r="D132" s="4">
        <v>8.49</v>
      </c>
      <c r="E132" s="4">
        <v>8.5</v>
      </c>
      <c r="F132" s="4">
        <v>8.0399999999999991</v>
      </c>
      <c r="G132" s="4">
        <v>8.1</v>
      </c>
      <c r="H132" s="4">
        <v>58529</v>
      </c>
      <c r="I132" s="4">
        <v>621.44000000000005</v>
      </c>
      <c r="J132" s="4">
        <v>76720810</v>
      </c>
      <c r="M132">
        <f t="shared" si="6"/>
        <v>20.493749999999999</v>
      </c>
      <c r="N132" s="5">
        <f t="shared" si="7"/>
        <v>7.098765432098765E-2</v>
      </c>
      <c r="O132" s="8">
        <f t="shared" si="8"/>
        <v>8.1000187563191783</v>
      </c>
    </row>
    <row r="133" spans="1:15" ht="15" customHeight="1" x14ac:dyDescent="0.25">
      <c r="A133" t="s">
        <v>10</v>
      </c>
      <c r="B133" t="s">
        <v>11</v>
      </c>
      <c r="C133" s="1">
        <v>45660</v>
      </c>
      <c r="D133" s="4">
        <v>8.25</v>
      </c>
      <c r="E133" s="4">
        <v>8.25</v>
      </c>
      <c r="F133" s="4">
        <v>8.1</v>
      </c>
      <c r="G133" s="4">
        <v>8.18</v>
      </c>
      <c r="H133" s="4">
        <v>36461</v>
      </c>
      <c r="I133" s="4">
        <v>627.58000000000004</v>
      </c>
      <c r="J133" s="4">
        <v>76720810</v>
      </c>
      <c r="M133">
        <f t="shared" si="6"/>
        <v>20.696157407407405</v>
      </c>
      <c r="N133" s="5">
        <f t="shared" si="7"/>
        <v>7.0293398533007326E-2</v>
      </c>
      <c r="O133" s="8">
        <f t="shared" si="8"/>
        <v>8.1800491939540265</v>
      </c>
    </row>
    <row r="134" spans="1:15" ht="15" customHeight="1" x14ac:dyDescent="0.25">
      <c r="A134" t="s">
        <v>10</v>
      </c>
      <c r="B134" t="s">
        <v>11</v>
      </c>
      <c r="C134" s="1">
        <v>45663</v>
      </c>
      <c r="D134" s="4">
        <v>8.27</v>
      </c>
      <c r="E134" s="4">
        <v>8.33</v>
      </c>
      <c r="F134" s="4">
        <v>8.14</v>
      </c>
      <c r="G134" s="4">
        <v>8.25</v>
      </c>
      <c r="H134" s="4">
        <v>70433</v>
      </c>
      <c r="I134" s="4">
        <v>632.95000000000005</v>
      </c>
      <c r="J134" s="4">
        <v>76720810</v>
      </c>
      <c r="M134">
        <f t="shared" si="6"/>
        <v>20.873263888888889</v>
      </c>
      <c r="N134" s="5">
        <f t="shared" si="7"/>
        <v>6.9696969696969688E-2</v>
      </c>
      <c r="O134" s="8">
        <f t="shared" si="8"/>
        <v>8.2500432412014426</v>
      </c>
    </row>
    <row r="135" spans="1:15" ht="15" customHeight="1" x14ac:dyDescent="0.25">
      <c r="A135" t="s">
        <v>10</v>
      </c>
      <c r="B135" t="s">
        <v>11</v>
      </c>
      <c r="C135" s="1">
        <v>45664</v>
      </c>
      <c r="D135" s="4">
        <v>8.3000000000000007</v>
      </c>
      <c r="E135" s="4">
        <v>8.49</v>
      </c>
      <c r="F135" s="4">
        <v>8.2899999999999991</v>
      </c>
      <c r="G135" s="4">
        <v>8.44</v>
      </c>
      <c r="H135" s="4">
        <v>326608</v>
      </c>
      <c r="I135" s="4">
        <v>647.52</v>
      </c>
      <c r="J135" s="4">
        <v>76720810</v>
      </c>
      <c r="M135">
        <f t="shared" si="6"/>
        <v>21.35398148148148</v>
      </c>
      <c r="N135" s="5">
        <f t="shared" si="7"/>
        <v>6.8127962085308053E-2</v>
      </c>
      <c r="O135" s="8">
        <f t="shared" si="8"/>
        <v>8.4399526021688249</v>
      </c>
    </row>
    <row r="136" spans="1:15" ht="15" customHeight="1" x14ac:dyDescent="0.25">
      <c r="A136" t="s">
        <v>10</v>
      </c>
      <c r="B136" t="s">
        <v>11</v>
      </c>
      <c r="C136" s="1">
        <v>45665</v>
      </c>
      <c r="D136" s="4">
        <v>8.4</v>
      </c>
      <c r="E136" s="4">
        <v>8.57</v>
      </c>
      <c r="F136" s="4">
        <v>8.31</v>
      </c>
      <c r="G136" s="4">
        <v>8.3800000000000008</v>
      </c>
      <c r="H136" s="4">
        <v>120085</v>
      </c>
      <c r="I136" s="4">
        <v>642.91999999999996</v>
      </c>
      <c r="J136" s="4">
        <v>76720810</v>
      </c>
      <c r="M136">
        <f t="shared" si="6"/>
        <v>21.202175925925928</v>
      </c>
      <c r="N136" s="5">
        <f t="shared" si="7"/>
        <v>6.8615751789976129E-2</v>
      </c>
      <c r="O136" s="8">
        <f t="shared" si="8"/>
        <v>8.3799949453088409</v>
      </c>
    </row>
    <row r="137" spans="1:15" ht="15" customHeight="1" x14ac:dyDescent="0.25">
      <c r="A137" t="s">
        <v>10</v>
      </c>
      <c r="B137" t="s">
        <v>11</v>
      </c>
      <c r="C137" s="1">
        <v>45666</v>
      </c>
      <c r="D137" s="4">
        <v>8.39</v>
      </c>
      <c r="E137" s="4">
        <v>8.49</v>
      </c>
      <c r="F137" s="4">
        <v>8.35</v>
      </c>
      <c r="G137" s="4">
        <v>8.43</v>
      </c>
      <c r="H137" s="4">
        <v>88131</v>
      </c>
      <c r="I137" s="4">
        <v>646.76</v>
      </c>
      <c r="J137" s="4">
        <v>76720810</v>
      </c>
      <c r="M137">
        <f t="shared" si="6"/>
        <v>21.328680555555554</v>
      </c>
      <c r="N137" s="5">
        <f t="shared" si="7"/>
        <v>6.8208778173190987E-2</v>
      </c>
      <c r="O137" s="8">
        <f t="shared" si="8"/>
        <v>8.430046554513698</v>
      </c>
    </row>
    <row r="138" spans="1:15" ht="15" customHeight="1" x14ac:dyDescent="0.25">
      <c r="A138" t="s">
        <v>10</v>
      </c>
      <c r="B138" t="s">
        <v>11</v>
      </c>
      <c r="C138" s="1">
        <v>45667</v>
      </c>
      <c r="D138" s="4">
        <v>8.5500000000000007</v>
      </c>
      <c r="E138" s="4">
        <v>8.5500000000000007</v>
      </c>
      <c r="F138" s="4">
        <v>8.2899999999999991</v>
      </c>
      <c r="G138" s="4">
        <v>8.4</v>
      </c>
      <c r="H138" s="4">
        <v>451450</v>
      </c>
      <c r="I138" s="4">
        <v>644.45000000000005</v>
      </c>
      <c r="J138" s="4">
        <v>76720810</v>
      </c>
      <c r="M138">
        <f t="shared" si="6"/>
        <v>21.252777777777776</v>
      </c>
      <c r="N138" s="5">
        <f t="shared" si="7"/>
        <v>6.8452380952380945E-2</v>
      </c>
      <c r="O138" s="8">
        <f t="shared" si="8"/>
        <v>8.3999373833514017</v>
      </c>
    </row>
    <row r="139" spans="1:15" ht="15" customHeight="1" x14ac:dyDescent="0.25">
      <c r="A139" t="s">
        <v>10</v>
      </c>
      <c r="B139" t="s">
        <v>11</v>
      </c>
      <c r="C139" s="1">
        <v>45670</v>
      </c>
      <c r="D139" s="4">
        <v>8.41</v>
      </c>
      <c r="E139" s="4">
        <v>8.41</v>
      </c>
      <c r="F139" s="4">
        <v>7.92</v>
      </c>
      <c r="G139" s="4">
        <v>8.11</v>
      </c>
      <c r="H139" s="4">
        <v>283789</v>
      </c>
      <c r="I139" s="4">
        <v>622.21</v>
      </c>
      <c r="J139" s="4">
        <v>76720810</v>
      </c>
      <c r="M139">
        <f t="shared" si="6"/>
        <v>20.519050925925924</v>
      </c>
      <c r="N139" s="5">
        <f t="shared" si="7"/>
        <v>7.0900123304562274E-2</v>
      </c>
      <c r="O139" s="8">
        <f t="shared" si="8"/>
        <v>8.1100551467066104</v>
      </c>
    </row>
    <row r="140" spans="1:15" ht="15" customHeight="1" x14ac:dyDescent="0.25">
      <c r="A140" t="s">
        <v>10</v>
      </c>
      <c r="B140" t="s">
        <v>11</v>
      </c>
      <c r="C140" s="1">
        <v>45671</v>
      </c>
      <c r="D140" s="4">
        <v>8.09</v>
      </c>
      <c r="E140" s="4">
        <v>8.1199999999999992</v>
      </c>
      <c r="F140" s="4">
        <v>7.97</v>
      </c>
      <c r="G140" s="4">
        <v>8.0299999999999994</v>
      </c>
      <c r="H140" s="4">
        <v>151817</v>
      </c>
      <c r="I140" s="4">
        <v>616.07000000000005</v>
      </c>
      <c r="J140" s="4">
        <v>76720810</v>
      </c>
      <c r="M140">
        <f t="shared" si="6"/>
        <v>20.316643518518514</v>
      </c>
      <c r="N140" s="5">
        <f t="shared" si="7"/>
        <v>7.1606475716064752E-2</v>
      </c>
      <c r="O140" s="8">
        <f t="shared" si="8"/>
        <v>8.0300247090717622</v>
      </c>
    </row>
    <row r="141" spans="1:15" ht="15" customHeight="1" x14ac:dyDescent="0.25">
      <c r="A141" t="s">
        <v>10</v>
      </c>
      <c r="B141" t="s">
        <v>11</v>
      </c>
      <c r="C141" s="1">
        <v>45672</v>
      </c>
      <c r="D141" s="4">
        <v>7.91</v>
      </c>
      <c r="E141" s="4">
        <v>7.98</v>
      </c>
      <c r="F141" s="4">
        <v>7.76</v>
      </c>
      <c r="G141" s="4">
        <v>7.8</v>
      </c>
      <c r="H141" s="4">
        <v>204952</v>
      </c>
      <c r="I141" s="4">
        <v>598.41999999999996</v>
      </c>
      <c r="J141" s="4">
        <v>76720810</v>
      </c>
      <c r="M141">
        <f t="shared" si="6"/>
        <v>19.734722222222221</v>
      </c>
      <c r="N141" s="5">
        <f t="shared" si="7"/>
        <v>7.371794871794872E-2</v>
      </c>
      <c r="O141" s="8">
        <f t="shared" si="8"/>
        <v>7.7999697865546516</v>
      </c>
    </row>
    <row r="142" spans="1:15" ht="15" customHeight="1" x14ac:dyDescent="0.25">
      <c r="A142" t="s">
        <v>10</v>
      </c>
      <c r="B142" t="s">
        <v>11</v>
      </c>
      <c r="C142" s="1">
        <v>45673</v>
      </c>
      <c r="D142" s="4">
        <v>7.74</v>
      </c>
      <c r="E142" s="4">
        <v>7.87</v>
      </c>
      <c r="F142" s="4">
        <v>7.68</v>
      </c>
      <c r="G142" s="4">
        <v>7.76</v>
      </c>
      <c r="H142" s="4">
        <v>101630</v>
      </c>
      <c r="I142" s="4">
        <v>595.35</v>
      </c>
      <c r="J142" s="4">
        <v>76720810</v>
      </c>
      <c r="M142">
        <f t="shared" si="6"/>
        <v>19.633518518518517</v>
      </c>
      <c r="N142" s="5">
        <f t="shared" si="7"/>
        <v>7.4097938144329897E-2</v>
      </c>
      <c r="O142" s="8">
        <f t="shared" si="8"/>
        <v>7.7599545677372284</v>
      </c>
    </row>
    <row r="143" spans="1:15" ht="15" customHeight="1" x14ac:dyDescent="0.25">
      <c r="A143" t="s">
        <v>10</v>
      </c>
      <c r="B143" t="s">
        <v>11</v>
      </c>
      <c r="C143" s="1">
        <v>45674</v>
      </c>
      <c r="D143" s="4">
        <v>7.55</v>
      </c>
      <c r="E143" s="4">
        <v>7.74</v>
      </c>
      <c r="F143" s="4">
        <v>7.55</v>
      </c>
      <c r="G143" s="4">
        <v>7.72</v>
      </c>
      <c r="H143" s="4">
        <v>124424</v>
      </c>
      <c r="I143" s="4">
        <v>592.28</v>
      </c>
      <c r="J143" s="4">
        <v>76720810</v>
      </c>
      <c r="M143">
        <f t="shared" si="6"/>
        <v>19.532314814814814</v>
      </c>
      <c r="N143" s="5">
        <f t="shared" si="7"/>
        <v>7.4481865284974094E-2</v>
      </c>
      <c r="O143" s="8">
        <f t="shared" si="8"/>
        <v>7.7199393489198043</v>
      </c>
    </row>
    <row r="144" spans="1:15" ht="15" customHeight="1" x14ac:dyDescent="0.25">
      <c r="A144" t="s">
        <v>10</v>
      </c>
      <c r="B144" t="s">
        <v>11</v>
      </c>
      <c r="C144" s="1">
        <v>45677</v>
      </c>
      <c r="D144" s="4">
        <v>7.62</v>
      </c>
      <c r="E144" s="4">
        <v>7.93</v>
      </c>
      <c r="F144" s="4">
        <v>7.52</v>
      </c>
      <c r="G144" s="4">
        <v>7.91</v>
      </c>
      <c r="H144" s="4">
        <v>65588</v>
      </c>
      <c r="I144" s="4">
        <v>606.86</v>
      </c>
      <c r="J144" s="4">
        <v>76720810</v>
      </c>
      <c r="M144">
        <f t="shared" si="6"/>
        <v>20.013032407407408</v>
      </c>
      <c r="N144" s="5">
        <f t="shared" si="7"/>
        <v>7.2692793931731975E-2</v>
      </c>
      <c r="O144" s="8">
        <f t="shared" si="8"/>
        <v>7.9099790526194917</v>
      </c>
    </row>
    <row r="145" spans="1:15" ht="15" customHeight="1" x14ac:dyDescent="0.25">
      <c r="A145" t="s">
        <v>10</v>
      </c>
      <c r="B145" t="s">
        <v>11</v>
      </c>
      <c r="C145" s="1">
        <v>45678</v>
      </c>
      <c r="D145" s="4">
        <v>7.99</v>
      </c>
      <c r="E145" s="4">
        <v>8.16</v>
      </c>
      <c r="F145" s="4">
        <v>7.89</v>
      </c>
      <c r="G145" s="4">
        <v>8.1</v>
      </c>
      <c r="H145" s="4">
        <v>147956</v>
      </c>
      <c r="I145" s="4">
        <v>621.44000000000005</v>
      </c>
      <c r="J145" s="4">
        <v>76720810</v>
      </c>
      <c r="M145">
        <f t="shared" si="6"/>
        <v>20.493749999999999</v>
      </c>
      <c r="N145" s="5">
        <f t="shared" si="7"/>
        <v>7.098765432098765E-2</v>
      </c>
      <c r="O145" s="8">
        <f t="shared" si="8"/>
        <v>8.1000187563191783</v>
      </c>
    </row>
    <row r="146" spans="1:15" ht="15" customHeight="1" x14ac:dyDescent="0.25">
      <c r="A146" t="s">
        <v>10</v>
      </c>
      <c r="B146" t="s">
        <v>11</v>
      </c>
      <c r="C146" s="1">
        <v>45679</v>
      </c>
      <c r="D146" s="4">
        <v>8</v>
      </c>
      <c r="E146" s="4">
        <v>8.33</v>
      </c>
      <c r="F146" s="4">
        <v>8</v>
      </c>
      <c r="G146" s="4">
        <v>8.27</v>
      </c>
      <c r="H146" s="4">
        <v>68786</v>
      </c>
      <c r="I146" s="4">
        <v>634.48</v>
      </c>
      <c r="J146" s="4">
        <v>76720810</v>
      </c>
      <c r="M146">
        <f t="shared" si="6"/>
        <v>20.923865740740737</v>
      </c>
      <c r="N146" s="5">
        <f t="shared" si="7"/>
        <v>6.952841596130592E-2</v>
      </c>
      <c r="O146" s="8">
        <f t="shared" si="8"/>
        <v>8.2699856792440016</v>
      </c>
    </row>
    <row r="147" spans="1:15" ht="15" customHeight="1" x14ac:dyDescent="0.25">
      <c r="A147" t="s">
        <v>10</v>
      </c>
      <c r="B147" t="s">
        <v>11</v>
      </c>
      <c r="C147" s="1">
        <v>45680</v>
      </c>
      <c r="D147" s="4">
        <v>8.27</v>
      </c>
      <c r="E147" s="4">
        <v>8.35</v>
      </c>
      <c r="F147" s="4">
        <v>8.1</v>
      </c>
      <c r="G147" s="4">
        <v>8.1</v>
      </c>
      <c r="H147" s="4">
        <v>308291</v>
      </c>
      <c r="I147" s="4">
        <v>621.44000000000005</v>
      </c>
      <c r="J147" s="4">
        <v>76720810</v>
      </c>
      <c r="M147">
        <f t="shared" si="6"/>
        <v>20.493749999999999</v>
      </c>
      <c r="N147" s="5">
        <f t="shared" si="7"/>
        <v>7.098765432098765E-2</v>
      </c>
      <c r="O147" s="8">
        <f t="shared" si="8"/>
        <v>8.1000187563191783</v>
      </c>
    </row>
    <row r="148" spans="1:15" ht="15" customHeight="1" x14ac:dyDescent="0.25">
      <c r="A148" t="s">
        <v>10</v>
      </c>
      <c r="B148" t="s">
        <v>11</v>
      </c>
      <c r="C148" s="1">
        <v>45681</v>
      </c>
      <c r="D148" s="4">
        <v>8.02</v>
      </c>
      <c r="E148" s="4">
        <v>8.49</v>
      </c>
      <c r="F148" s="4">
        <v>8.02</v>
      </c>
      <c r="G148" s="4">
        <v>8.4</v>
      </c>
      <c r="H148" s="4">
        <v>71378</v>
      </c>
      <c r="I148" s="4">
        <v>644.45000000000005</v>
      </c>
      <c r="J148" s="4">
        <v>76720810</v>
      </c>
      <c r="M148">
        <f t="shared" si="6"/>
        <v>21.252777777777776</v>
      </c>
      <c r="N148" s="5">
        <f t="shared" si="7"/>
        <v>6.8452380952380945E-2</v>
      </c>
      <c r="O148" s="8">
        <f t="shared" si="8"/>
        <v>8.3999373833514017</v>
      </c>
    </row>
    <row r="149" spans="1:15" ht="15" customHeight="1" x14ac:dyDescent="0.25">
      <c r="A149" t="s">
        <v>10</v>
      </c>
      <c r="B149" t="s">
        <v>11</v>
      </c>
      <c r="C149" s="1">
        <v>45685</v>
      </c>
      <c r="D149" s="4">
        <v>8.34</v>
      </c>
      <c r="E149" s="4">
        <v>8.44</v>
      </c>
      <c r="F149" s="4">
        <v>8.31</v>
      </c>
      <c r="G149" s="4">
        <v>8.39</v>
      </c>
      <c r="H149" s="4">
        <v>86813</v>
      </c>
      <c r="I149" s="4">
        <v>643.69000000000005</v>
      </c>
      <c r="J149" s="4">
        <v>76720810</v>
      </c>
      <c r="M149">
        <f t="shared" si="6"/>
        <v>21.227476851851851</v>
      </c>
      <c r="N149" s="5">
        <f t="shared" si="7"/>
        <v>6.8533969010727044E-2</v>
      </c>
      <c r="O149" s="8">
        <f t="shared" si="8"/>
        <v>8.390031335696273</v>
      </c>
    </row>
    <row r="150" spans="1:15" ht="15" customHeight="1" x14ac:dyDescent="0.25">
      <c r="A150" t="s">
        <v>10</v>
      </c>
      <c r="B150" t="s">
        <v>11</v>
      </c>
      <c r="C150" s="1">
        <v>45686</v>
      </c>
      <c r="D150" s="4">
        <v>8.39</v>
      </c>
      <c r="E150" s="4">
        <v>8.8000000000000007</v>
      </c>
      <c r="F150" s="4">
        <v>8.39</v>
      </c>
      <c r="G150" s="4">
        <v>8.4499999999999993</v>
      </c>
      <c r="H150" s="4">
        <v>417347</v>
      </c>
      <c r="I150" s="4">
        <v>648.29</v>
      </c>
      <c r="J150" s="4">
        <v>76720810</v>
      </c>
      <c r="M150">
        <f t="shared" si="6"/>
        <v>21.379282407407405</v>
      </c>
      <c r="N150" s="5">
        <f t="shared" si="7"/>
        <v>6.8047337278106509E-2</v>
      </c>
      <c r="O150" s="8">
        <f t="shared" si="8"/>
        <v>8.449988992556257</v>
      </c>
    </row>
    <row r="151" spans="1:15" ht="15" customHeight="1" x14ac:dyDescent="0.25">
      <c r="A151" t="s">
        <v>10</v>
      </c>
      <c r="B151" t="s">
        <v>11</v>
      </c>
      <c r="C151" s="1">
        <v>45687</v>
      </c>
      <c r="D151" s="4">
        <v>8.6</v>
      </c>
      <c r="E151" s="4">
        <v>8.6</v>
      </c>
      <c r="F151" s="4">
        <v>8.31</v>
      </c>
      <c r="G151" s="4">
        <v>8.4</v>
      </c>
      <c r="H151" s="4">
        <v>148502</v>
      </c>
      <c r="I151" s="4">
        <v>644.45000000000005</v>
      </c>
      <c r="J151" s="4">
        <v>76720810</v>
      </c>
      <c r="M151">
        <f t="shared" si="6"/>
        <v>21.252777777777776</v>
      </c>
      <c r="N151" s="5">
        <f t="shared" si="7"/>
        <v>6.8452380952380945E-2</v>
      </c>
      <c r="O151" s="8">
        <f t="shared" si="8"/>
        <v>8.3999373833514017</v>
      </c>
    </row>
    <row r="152" spans="1:15" ht="15" customHeight="1" x14ac:dyDescent="0.25">
      <c r="A152" t="s">
        <v>10</v>
      </c>
      <c r="B152" t="s">
        <v>11</v>
      </c>
      <c r="C152" s="1">
        <v>45688</v>
      </c>
      <c r="D152" s="4">
        <v>8.52</v>
      </c>
      <c r="E152" s="4">
        <v>8.5250000000000004</v>
      </c>
      <c r="F152" s="4">
        <v>8.33</v>
      </c>
      <c r="G152" s="4">
        <v>8.52</v>
      </c>
      <c r="H152" s="4">
        <v>177567</v>
      </c>
      <c r="I152" s="4">
        <v>653.66</v>
      </c>
      <c r="J152" s="4">
        <v>76720810</v>
      </c>
      <c r="M152">
        <f t="shared" si="6"/>
        <v>21.556388888888886</v>
      </c>
      <c r="N152" s="5">
        <f t="shared" si="7"/>
        <v>6.7488262910798125E-2</v>
      </c>
      <c r="O152" s="8">
        <f t="shared" si="8"/>
        <v>8.5199830398036731</v>
      </c>
    </row>
    <row r="153" spans="1:15" ht="15" customHeight="1" x14ac:dyDescent="0.25">
      <c r="A153" t="s">
        <v>10</v>
      </c>
      <c r="B153" t="s">
        <v>11</v>
      </c>
      <c r="C153" s="1">
        <v>45691</v>
      </c>
      <c r="D153" s="4">
        <v>8.48</v>
      </c>
      <c r="E153" s="4">
        <v>8.48</v>
      </c>
      <c r="F153" s="4">
        <v>8.1300000000000008</v>
      </c>
      <c r="G153" s="4">
        <v>8.17</v>
      </c>
      <c r="H153" s="4">
        <v>99429</v>
      </c>
      <c r="I153" s="4">
        <v>626.80999999999995</v>
      </c>
      <c r="J153" s="4">
        <v>76720810</v>
      </c>
      <c r="M153">
        <f t="shared" si="6"/>
        <v>20.670856481481479</v>
      </c>
      <c r="N153" s="5">
        <f t="shared" si="7"/>
        <v>7.0379436964504286E-2</v>
      </c>
      <c r="O153" s="8">
        <f t="shared" si="8"/>
        <v>8.1700128035665944</v>
      </c>
    </row>
    <row r="154" spans="1:15" ht="15" customHeight="1" x14ac:dyDescent="0.25">
      <c r="A154" t="s">
        <v>10</v>
      </c>
      <c r="B154" t="s">
        <v>11</v>
      </c>
      <c r="C154" s="1">
        <v>45692</v>
      </c>
      <c r="D154" s="4">
        <v>8.1</v>
      </c>
      <c r="E154" s="4">
        <v>8.23</v>
      </c>
      <c r="F154" s="4">
        <v>8.1</v>
      </c>
      <c r="G154" s="4">
        <v>8.11</v>
      </c>
      <c r="H154" s="4">
        <v>74528</v>
      </c>
      <c r="I154" s="4">
        <v>622.21</v>
      </c>
      <c r="J154" s="4">
        <v>76720810</v>
      </c>
      <c r="M154">
        <f t="shared" si="6"/>
        <v>20.519050925925924</v>
      </c>
      <c r="N154" s="5">
        <f t="shared" si="7"/>
        <v>7.0900123304562274E-2</v>
      </c>
      <c r="O154" s="8">
        <f t="shared" si="8"/>
        <v>8.1100551467066104</v>
      </c>
    </row>
    <row r="155" spans="1:15" ht="15" customHeight="1" x14ac:dyDescent="0.25">
      <c r="A155" t="s">
        <v>10</v>
      </c>
      <c r="B155" t="s">
        <v>11</v>
      </c>
      <c r="C155" s="1">
        <v>45693</v>
      </c>
      <c r="D155" s="4">
        <v>8.1</v>
      </c>
      <c r="E155" s="4">
        <v>8.25</v>
      </c>
      <c r="F155" s="4">
        <v>7.95</v>
      </c>
      <c r="G155" s="4">
        <v>8.09</v>
      </c>
      <c r="H155" s="4">
        <v>96089</v>
      </c>
      <c r="I155" s="4">
        <v>620.66999999999996</v>
      </c>
      <c r="J155" s="4">
        <v>76720810</v>
      </c>
      <c r="M155">
        <f t="shared" si="6"/>
        <v>20.468449074074073</v>
      </c>
      <c r="N155" s="5">
        <f t="shared" si="7"/>
        <v>7.1075401730531521E-2</v>
      </c>
      <c r="O155" s="8">
        <f t="shared" si="8"/>
        <v>8.0899823659317462</v>
      </c>
    </row>
    <row r="156" spans="1:15" ht="15" customHeight="1" x14ac:dyDescent="0.25">
      <c r="A156" t="s">
        <v>10</v>
      </c>
      <c r="B156" t="s">
        <v>11</v>
      </c>
      <c r="C156" s="1">
        <v>45694</v>
      </c>
      <c r="D156" s="4">
        <v>8.15</v>
      </c>
      <c r="E156" s="4">
        <v>8.33</v>
      </c>
      <c r="F156" s="4">
        <v>8.0399999999999991</v>
      </c>
      <c r="G156" s="4">
        <v>8.3000000000000007</v>
      </c>
      <c r="H156" s="4">
        <v>188818</v>
      </c>
      <c r="I156" s="4">
        <v>636.78</v>
      </c>
      <c r="J156" s="4">
        <v>76720810</v>
      </c>
      <c r="M156">
        <f t="shared" si="6"/>
        <v>20.999768518518518</v>
      </c>
      <c r="N156" s="5">
        <f t="shared" si="7"/>
        <v>6.9277108433734927E-2</v>
      </c>
      <c r="O156" s="8">
        <f t="shared" si="8"/>
        <v>8.2999645076739927</v>
      </c>
    </row>
    <row r="157" spans="1:15" ht="15" customHeight="1" x14ac:dyDescent="0.25">
      <c r="A157" t="s">
        <v>10</v>
      </c>
      <c r="B157" t="s">
        <v>11</v>
      </c>
      <c r="C157" s="1">
        <v>45695</v>
      </c>
      <c r="D157" s="4">
        <v>8.3000000000000007</v>
      </c>
      <c r="E157" s="4">
        <v>8.6</v>
      </c>
      <c r="F157" s="4">
        <v>8.2899999999999991</v>
      </c>
      <c r="G157" s="4">
        <v>8.4700000000000006</v>
      </c>
      <c r="H157" s="4">
        <v>170983</v>
      </c>
      <c r="I157" s="4">
        <v>649.83000000000004</v>
      </c>
      <c r="J157" s="4">
        <v>76720810</v>
      </c>
      <c r="M157">
        <f t="shared" si="6"/>
        <v>21.429884259259261</v>
      </c>
      <c r="N157" s="5">
        <f t="shared" si="7"/>
        <v>6.7886658795749691E-2</v>
      </c>
      <c r="O157" s="8">
        <f t="shared" si="8"/>
        <v>8.4700617733311212</v>
      </c>
    </row>
    <row r="158" spans="1:15" ht="15" customHeight="1" x14ac:dyDescent="0.25">
      <c r="A158" t="s">
        <v>10</v>
      </c>
      <c r="B158" t="s">
        <v>11</v>
      </c>
      <c r="C158" s="1">
        <v>45698</v>
      </c>
      <c r="D158" s="4">
        <v>8.4600000000000009</v>
      </c>
      <c r="E158" s="4">
        <v>8.4600000000000009</v>
      </c>
      <c r="F158" s="4">
        <v>8.07</v>
      </c>
      <c r="G158" s="4">
        <v>8.19</v>
      </c>
      <c r="H158" s="4">
        <v>87709</v>
      </c>
      <c r="I158" s="4">
        <v>628.34</v>
      </c>
      <c r="J158" s="4">
        <v>76720810</v>
      </c>
      <c r="M158">
        <f t="shared" si="6"/>
        <v>20.721458333333331</v>
      </c>
      <c r="N158" s="5">
        <f t="shared" si="7"/>
        <v>7.0207570207570208E-2</v>
      </c>
      <c r="O158" s="8">
        <f t="shared" si="8"/>
        <v>8.1899552416091534</v>
      </c>
    </row>
    <row r="159" spans="1:15" ht="15" customHeight="1" x14ac:dyDescent="0.25">
      <c r="A159" t="s">
        <v>10</v>
      </c>
      <c r="B159" t="s">
        <v>11</v>
      </c>
      <c r="C159" s="1">
        <v>45699</v>
      </c>
      <c r="D159" s="4">
        <v>8.18</v>
      </c>
      <c r="E159" s="4">
        <v>8.27</v>
      </c>
      <c r="F159" s="4">
        <v>8.02</v>
      </c>
      <c r="G159" s="4">
        <v>8.19</v>
      </c>
      <c r="H159" s="4">
        <v>74292</v>
      </c>
      <c r="I159" s="4">
        <v>628.34</v>
      </c>
      <c r="J159" s="4">
        <v>76720810</v>
      </c>
      <c r="M159">
        <f t="shared" si="6"/>
        <v>20.721458333333331</v>
      </c>
      <c r="N159" s="5">
        <f t="shared" si="7"/>
        <v>7.0207570207570208E-2</v>
      </c>
      <c r="O159" s="8">
        <f t="shared" si="8"/>
        <v>8.1899552416091534</v>
      </c>
    </row>
    <row r="160" spans="1:15" ht="15" customHeight="1" x14ac:dyDescent="0.25">
      <c r="A160" t="s">
        <v>10</v>
      </c>
      <c r="B160" t="s">
        <v>11</v>
      </c>
      <c r="C160" s="1">
        <v>45700</v>
      </c>
      <c r="D160" s="4">
        <v>8.19</v>
      </c>
      <c r="E160" s="4">
        <v>8.2799999999999994</v>
      </c>
      <c r="F160" s="4">
        <v>8.07</v>
      </c>
      <c r="G160" s="4">
        <v>8.16</v>
      </c>
      <c r="H160" s="4">
        <v>51627</v>
      </c>
      <c r="I160" s="4">
        <v>626.04</v>
      </c>
      <c r="J160" s="4">
        <v>76720810</v>
      </c>
      <c r="M160">
        <f t="shared" si="6"/>
        <v>20.645555555555553</v>
      </c>
      <c r="N160" s="5">
        <f t="shared" si="7"/>
        <v>7.0465686274509803E-2</v>
      </c>
      <c r="O160" s="8">
        <f t="shared" si="8"/>
        <v>8.1599764131791623</v>
      </c>
    </row>
    <row r="161" spans="1:15" ht="15" customHeight="1" x14ac:dyDescent="0.25">
      <c r="A161" t="s">
        <v>10</v>
      </c>
      <c r="B161" t="s">
        <v>11</v>
      </c>
      <c r="C161" s="1">
        <v>45701</v>
      </c>
      <c r="D161" s="4">
        <v>8.1999999999999993</v>
      </c>
      <c r="E161" s="4">
        <v>8.25</v>
      </c>
      <c r="F161" s="4">
        <v>8.0250000000000004</v>
      </c>
      <c r="G161" s="4">
        <v>8.16</v>
      </c>
      <c r="H161" s="4">
        <v>54050</v>
      </c>
      <c r="I161" s="4">
        <v>626.04</v>
      </c>
      <c r="J161" s="4">
        <v>76720810</v>
      </c>
      <c r="M161">
        <f t="shared" si="6"/>
        <v>20.645555555555553</v>
      </c>
      <c r="N161" s="5">
        <f t="shared" si="7"/>
        <v>7.0465686274509803E-2</v>
      </c>
      <c r="O161" s="8">
        <f t="shared" si="8"/>
        <v>8.1599764131791623</v>
      </c>
    </row>
    <row r="162" spans="1:15" ht="15" customHeight="1" x14ac:dyDescent="0.25">
      <c r="A162" t="s">
        <v>10</v>
      </c>
      <c r="B162" t="s">
        <v>11</v>
      </c>
      <c r="C162" s="1">
        <v>45702</v>
      </c>
      <c r="D162" s="4">
        <v>8.32</v>
      </c>
      <c r="E162" s="4">
        <v>8.4499999999999993</v>
      </c>
      <c r="F162" s="4">
        <v>8.2650000000000006</v>
      </c>
      <c r="G162" s="4">
        <v>8.3000000000000007</v>
      </c>
      <c r="H162" s="4">
        <v>53391</v>
      </c>
      <c r="I162" s="4">
        <v>636.78</v>
      </c>
      <c r="J162" s="4">
        <v>76720810</v>
      </c>
      <c r="M162">
        <f t="shared" si="6"/>
        <v>20.999768518518518</v>
      </c>
      <c r="N162" s="5">
        <f t="shared" si="7"/>
        <v>6.9277108433734927E-2</v>
      </c>
      <c r="O162" s="8">
        <f t="shared" si="8"/>
        <v>8.2999645076739927</v>
      </c>
    </row>
    <row r="163" spans="1:15" ht="15" customHeight="1" x14ac:dyDescent="0.25">
      <c r="A163" t="s">
        <v>10</v>
      </c>
      <c r="B163" t="s">
        <v>11</v>
      </c>
      <c r="C163" s="1">
        <v>45705</v>
      </c>
      <c r="D163" s="4">
        <v>8.32</v>
      </c>
      <c r="E163" s="4">
        <v>8.4</v>
      </c>
      <c r="F163" s="4">
        <v>8.15</v>
      </c>
      <c r="G163" s="4">
        <v>8.4</v>
      </c>
      <c r="H163" s="4">
        <v>151420</v>
      </c>
      <c r="I163" s="4">
        <v>644.45000000000005</v>
      </c>
      <c r="J163" s="4">
        <v>76720810</v>
      </c>
      <c r="M163">
        <f t="shared" si="6"/>
        <v>21.252777777777776</v>
      </c>
      <c r="N163" s="5">
        <f t="shared" si="7"/>
        <v>6.8452380952380945E-2</v>
      </c>
      <c r="O163" s="8">
        <f t="shared" si="8"/>
        <v>8.3999373833514017</v>
      </c>
    </row>
    <row r="164" spans="1:15" ht="15" customHeight="1" x14ac:dyDescent="0.25">
      <c r="A164" t="s">
        <v>10</v>
      </c>
      <c r="B164" t="s">
        <v>11</v>
      </c>
      <c r="C164" s="1">
        <v>45706</v>
      </c>
      <c r="D164" s="4">
        <v>8.4</v>
      </c>
      <c r="E164" s="4">
        <v>8.52</v>
      </c>
      <c r="F164" s="4">
        <v>8.2200000000000006</v>
      </c>
      <c r="G164" s="4">
        <v>8.43</v>
      </c>
      <c r="H164" s="4">
        <v>149846</v>
      </c>
      <c r="I164" s="4">
        <v>646.76</v>
      </c>
      <c r="J164" s="4">
        <v>76720810</v>
      </c>
      <c r="M164">
        <f t="shared" si="6"/>
        <v>21.328680555555554</v>
      </c>
      <c r="N164" s="5">
        <f t="shared" si="7"/>
        <v>6.8208778173190987E-2</v>
      </c>
      <c r="O164" s="8">
        <f t="shared" si="8"/>
        <v>8.430046554513698</v>
      </c>
    </row>
    <row r="165" spans="1:15" ht="15" customHeight="1" x14ac:dyDescent="0.25">
      <c r="A165" t="s">
        <v>10</v>
      </c>
      <c r="B165" t="s">
        <v>11</v>
      </c>
      <c r="C165" s="1">
        <v>45707</v>
      </c>
      <c r="D165" s="4">
        <v>8.57</v>
      </c>
      <c r="E165" s="4">
        <v>8.66</v>
      </c>
      <c r="F165" s="4">
        <v>8.43</v>
      </c>
      <c r="G165" s="4">
        <v>8.48</v>
      </c>
      <c r="H165" s="4">
        <v>99286</v>
      </c>
      <c r="I165" s="4">
        <v>650.59</v>
      </c>
      <c r="J165" s="4">
        <v>76720810</v>
      </c>
      <c r="M165">
        <f t="shared" si="6"/>
        <v>21.455185185185186</v>
      </c>
      <c r="N165" s="5">
        <f t="shared" si="7"/>
        <v>6.7806603773584898E-2</v>
      </c>
      <c r="O165" s="8">
        <f t="shared" si="8"/>
        <v>8.4799678209862481</v>
      </c>
    </row>
    <row r="166" spans="1:15" ht="15" customHeight="1" x14ac:dyDescent="0.25">
      <c r="A166" t="s">
        <v>10</v>
      </c>
      <c r="B166" t="s">
        <v>11</v>
      </c>
      <c r="C166" s="1">
        <v>45708</v>
      </c>
      <c r="D166" s="4">
        <v>8.84</v>
      </c>
      <c r="E166" s="4">
        <v>9.61</v>
      </c>
      <c r="F166" s="4">
        <v>8.84</v>
      </c>
      <c r="G166" s="4">
        <v>9.3000000000000007</v>
      </c>
      <c r="H166" s="4">
        <v>290773</v>
      </c>
      <c r="I166" s="4">
        <v>713.5</v>
      </c>
      <c r="J166" s="4">
        <v>76720810</v>
      </c>
      <c r="M166">
        <f t="shared" si="6"/>
        <v>23.529861111111114</v>
      </c>
      <c r="N166" s="5">
        <f t="shared" si="7"/>
        <v>6.1827956989247305E-2</v>
      </c>
      <c r="O166" s="8">
        <f t="shared" si="8"/>
        <v>9.2999539499126769</v>
      </c>
    </row>
    <row r="167" spans="1:15" ht="15" customHeight="1" x14ac:dyDescent="0.25">
      <c r="A167" t="s">
        <v>10</v>
      </c>
      <c r="B167" t="s">
        <v>11</v>
      </c>
      <c r="C167" s="1">
        <v>45709</v>
      </c>
      <c r="D167" s="4">
        <v>9.3800000000000008</v>
      </c>
      <c r="E167" s="4">
        <v>9.3800000000000008</v>
      </c>
      <c r="F167" s="4">
        <v>9.09</v>
      </c>
      <c r="G167" s="4">
        <v>9.17</v>
      </c>
      <c r="H167" s="4">
        <v>422545</v>
      </c>
      <c r="I167" s="4">
        <v>703.53</v>
      </c>
      <c r="J167" s="4">
        <v>76720810</v>
      </c>
      <c r="M167">
        <f t="shared" si="6"/>
        <v>23.200949074074074</v>
      </c>
      <c r="N167" s="5">
        <f t="shared" si="7"/>
        <v>6.2704471101417664E-2</v>
      </c>
      <c r="O167" s="8">
        <f t="shared" si="8"/>
        <v>9.1700022458052768</v>
      </c>
    </row>
    <row r="168" spans="1:15" ht="15" customHeight="1" x14ac:dyDescent="0.25">
      <c r="A168" t="s">
        <v>10</v>
      </c>
      <c r="B168" t="s">
        <v>11</v>
      </c>
      <c r="C168" s="1">
        <v>45712</v>
      </c>
      <c r="D168" s="4">
        <v>9.17</v>
      </c>
      <c r="E168" s="4">
        <v>9.17</v>
      </c>
      <c r="F168" s="4">
        <v>8.7200000000000006</v>
      </c>
      <c r="G168" s="4">
        <v>8.85</v>
      </c>
      <c r="H168" s="4">
        <v>198178</v>
      </c>
      <c r="I168" s="4">
        <v>678.98</v>
      </c>
      <c r="J168" s="4">
        <v>76720810</v>
      </c>
      <c r="M168">
        <f t="shared" si="6"/>
        <v>22.391319444444441</v>
      </c>
      <c r="N168" s="5">
        <f t="shared" si="7"/>
        <v>6.4971751412429377E-2</v>
      </c>
      <c r="O168" s="8">
        <f t="shared" si="8"/>
        <v>8.850010837998191</v>
      </c>
    </row>
    <row r="169" spans="1:15" ht="15" customHeight="1" x14ac:dyDescent="0.25">
      <c r="A169" t="s">
        <v>10</v>
      </c>
      <c r="B169" t="s">
        <v>11</v>
      </c>
      <c r="C169" s="1">
        <v>45713</v>
      </c>
      <c r="D169" s="4">
        <v>8.9</v>
      </c>
      <c r="E169" s="4">
        <v>8.9</v>
      </c>
      <c r="F169" s="4">
        <v>8.64</v>
      </c>
      <c r="G169" s="4">
        <v>8.69</v>
      </c>
      <c r="H169" s="4">
        <v>117192</v>
      </c>
      <c r="I169" s="4">
        <v>666.7</v>
      </c>
      <c r="J169" s="4">
        <v>76720810</v>
      </c>
      <c r="M169">
        <f t="shared" si="6"/>
        <v>21.986504629629628</v>
      </c>
      <c r="N169" s="5">
        <f t="shared" si="7"/>
        <v>6.6168009205983883E-2</v>
      </c>
      <c r="O169" s="8">
        <f t="shared" si="8"/>
        <v>8.6899499627284964</v>
      </c>
    </row>
    <row r="170" spans="1:15" ht="15" customHeight="1" x14ac:dyDescent="0.25">
      <c r="A170" t="s">
        <v>10</v>
      </c>
      <c r="B170" t="s">
        <v>11</v>
      </c>
      <c r="C170" s="1">
        <v>45714</v>
      </c>
      <c r="D170" s="4">
        <v>8.8000000000000007</v>
      </c>
      <c r="E170" s="4">
        <v>8.8699999999999992</v>
      </c>
      <c r="F170" s="4">
        <v>8.56</v>
      </c>
      <c r="G170" s="4">
        <v>8.86</v>
      </c>
      <c r="H170" s="4">
        <v>131067</v>
      </c>
      <c r="I170" s="4">
        <v>679.75</v>
      </c>
      <c r="J170" s="4">
        <v>76720810</v>
      </c>
      <c r="M170">
        <f t="shared" si="6"/>
        <v>22.416620370370367</v>
      </c>
      <c r="N170" s="5">
        <f t="shared" si="7"/>
        <v>6.4898419864559825E-2</v>
      </c>
      <c r="O170" s="8">
        <f t="shared" si="8"/>
        <v>8.8600472283856231</v>
      </c>
    </row>
    <row r="171" spans="1:15" ht="15" customHeight="1" x14ac:dyDescent="0.25">
      <c r="A171" t="s">
        <v>10</v>
      </c>
      <c r="B171" t="s">
        <v>11</v>
      </c>
      <c r="C171" s="1">
        <v>45715</v>
      </c>
      <c r="D171" s="4">
        <v>9</v>
      </c>
      <c r="E171" s="4">
        <v>9.14</v>
      </c>
      <c r="F171" s="4">
        <v>8.92</v>
      </c>
      <c r="G171" s="4">
        <v>8.94</v>
      </c>
      <c r="H171" s="4">
        <v>271880</v>
      </c>
      <c r="I171" s="4">
        <v>685.88</v>
      </c>
      <c r="J171" s="4">
        <v>76720810</v>
      </c>
      <c r="M171">
        <f t="shared" si="6"/>
        <v>22.619027777777777</v>
      </c>
      <c r="N171" s="5">
        <f t="shared" si="7"/>
        <v>6.4317673378076062E-2</v>
      </c>
      <c r="O171" s="8">
        <f t="shared" si="8"/>
        <v>8.9399473232881661</v>
      </c>
    </row>
    <row r="172" spans="1:15" ht="15" customHeight="1" x14ac:dyDescent="0.25">
      <c r="A172" t="s">
        <v>10</v>
      </c>
      <c r="B172" t="s">
        <v>11</v>
      </c>
      <c r="C172" s="1">
        <v>45716</v>
      </c>
      <c r="D172" s="4">
        <v>8.94</v>
      </c>
      <c r="E172" s="4">
        <v>8.94</v>
      </c>
      <c r="F172" s="4">
        <v>8.64</v>
      </c>
      <c r="G172" s="4">
        <v>8.6999999999999993</v>
      </c>
      <c r="H172" s="4">
        <v>73899</v>
      </c>
      <c r="I172" s="4">
        <v>667.47</v>
      </c>
      <c r="J172" s="4">
        <v>76720810</v>
      </c>
      <c r="M172">
        <f t="shared" si="6"/>
        <v>22.011805555555554</v>
      </c>
      <c r="N172" s="5">
        <f t="shared" si="7"/>
        <v>6.6091954022988508E-2</v>
      </c>
      <c r="O172" s="8">
        <f t="shared" si="8"/>
        <v>8.6999863531159285</v>
      </c>
    </row>
    <row r="173" spans="1:15" ht="15" customHeight="1" x14ac:dyDescent="0.25">
      <c r="A173" t="s">
        <v>10</v>
      </c>
      <c r="B173" t="s">
        <v>11</v>
      </c>
      <c r="C173" s="1">
        <v>45719</v>
      </c>
      <c r="D173" s="4">
        <v>8.65</v>
      </c>
      <c r="E173" s="4">
        <v>8.7799999999999994</v>
      </c>
      <c r="F173" s="4">
        <v>8.19</v>
      </c>
      <c r="G173" s="4">
        <v>8.4499999999999993</v>
      </c>
      <c r="H173" s="4">
        <v>223236</v>
      </c>
      <c r="I173" s="4">
        <v>648.29</v>
      </c>
      <c r="J173" s="4">
        <v>76720810</v>
      </c>
      <c r="M173">
        <f t="shared" si="6"/>
        <v>21.379282407407405</v>
      </c>
      <c r="N173" s="5">
        <f t="shared" si="7"/>
        <v>6.8047337278106509E-2</v>
      </c>
      <c r="O173" s="8">
        <f t="shared" si="8"/>
        <v>8.449988992556257</v>
      </c>
    </row>
    <row r="174" spans="1:15" ht="15" customHeight="1" x14ac:dyDescent="0.25">
      <c r="A174" t="s">
        <v>10</v>
      </c>
      <c r="B174" t="s">
        <v>11</v>
      </c>
      <c r="C174" s="1">
        <v>45720</v>
      </c>
      <c r="D174" s="4">
        <v>8.4</v>
      </c>
      <c r="E174" s="4">
        <v>8.4600000000000009</v>
      </c>
      <c r="F174" s="4">
        <v>8.08</v>
      </c>
      <c r="G174" s="4">
        <v>8.36</v>
      </c>
      <c r="H174" s="4">
        <v>194096</v>
      </c>
      <c r="I174" s="4">
        <v>641.39</v>
      </c>
      <c r="J174" s="4">
        <v>76720810</v>
      </c>
      <c r="M174">
        <f t="shared" si="6"/>
        <v>21.151574074074073</v>
      </c>
      <c r="N174" s="5">
        <f t="shared" si="7"/>
        <v>6.8779904306220094E-2</v>
      </c>
      <c r="O174" s="8">
        <f t="shared" si="8"/>
        <v>8.3600525072662819</v>
      </c>
    </row>
    <row r="175" spans="1:15" ht="15" customHeight="1" x14ac:dyDescent="0.25">
      <c r="A175" t="s">
        <v>10</v>
      </c>
      <c r="B175" t="s">
        <v>11</v>
      </c>
      <c r="C175" s="1">
        <v>45721</v>
      </c>
      <c r="D175" s="4">
        <v>8.27</v>
      </c>
      <c r="E175" s="4">
        <v>8.6</v>
      </c>
      <c r="F175" s="4">
        <v>8.1300000000000008</v>
      </c>
      <c r="G175" s="4">
        <v>8.4</v>
      </c>
      <c r="H175" s="4">
        <v>188855</v>
      </c>
      <c r="I175" s="4">
        <v>644.45000000000005</v>
      </c>
      <c r="J175" s="4">
        <v>76720810</v>
      </c>
      <c r="M175">
        <f t="shared" si="6"/>
        <v>21.252777777777776</v>
      </c>
      <c r="N175" s="5">
        <f t="shared" si="7"/>
        <v>6.8452380952380945E-2</v>
      </c>
      <c r="O175" s="8">
        <f t="shared" si="8"/>
        <v>8.3999373833514017</v>
      </c>
    </row>
    <row r="176" spans="1:15" ht="15" customHeight="1" x14ac:dyDescent="0.25">
      <c r="A176" t="s">
        <v>10</v>
      </c>
      <c r="B176" t="s">
        <v>11</v>
      </c>
      <c r="C176" s="1">
        <v>45722</v>
      </c>
      <c r="D176" s="4">
        <v>8.1999999999999993</v>
      </c>
      <c r="E176" s="4">
        <v>8.2100000000000009</v>
      </c>
      <c r="F176" s="4">
        <v>7.96</v>
      </c>
      <c r="G176" s="4">
        <v>8.14</v>
      </c>
      <c r="H176" s="4">
        <v>160197</v>
      </c>
      <c r="I176" s="4">
        <v>624.51</v>
      </c>
      <c r="J176" s="4">
        <v>76720810</v>
      </c>
      <c r="M176">
        <f t="shared" si="6"/>
        <v>20.594953703703705</v>
      </c>
      <c r="N176" s="5">
        <f t="shared" si="7"/>
        <v>7.0638820638820626E-2</v>
      </c>
      <c r="O176" s="8">
        <f t="shared" si="8"/>
        <v>8.1400339751366033</v>
      </c>
    </row>
    <row r="177" spans="1:15" ht="15" customHeight="1" x14ac:dyDescent="0.25">
      <c r="A177" t="s">
        <v>10</v>
      </c>
      <c r="B177" t="s">
        <v>11</v>
      </c>
      <c r="C177" s="1">
        <v>45723</v>
      </c>
      <c r="D177" s="4">
        <v>8.1</v>
      </c>
      <c r="E177" s="4">
        <v>8.1</v>
      </c>
      <c r="F177" s="4">
        <v>7.89</v>
      </c>
      <c r="G177" s="4">
        <v>7.93</v>
      </c>
      <c r="H177" s="4">
        <v>116623</v>
      </c>
      <c r="I177" s="4">
        <v>608.4</v>
      </c>
      <c r="J177" s="4">
        <v>76720810</v>
      </c>
      <c r="M177">
        <f t="shared" si="6"/>
        <v>20.063634259259256</v>
      </c>
      <c r="N177" s="5">
        <f t="shared" si="7"/>
        <v>7.2509457755359386E-2</v>
      </c>
      <c r="O177" s="8">
        <f t="shared" si="8"/>
        <v>7.930051833394355</v>
      </c>
    </row>
    <row r="178" spans="1:15" ht="15" customHeight="1" x14ac:dyDescent="0.25">
      <c r="A178" t="s">
        <v>10</v>
      </c>
      <c r="B178" t="s">
        <v>11</v>
      </c>
      <c r="C178" s="1">
        <v>45726</v>
      </c>
      <c r="D178" s="4">
        <v>7.96</v>
      </c>
      <c r="E178" s="4">
        <v>8.18</v>
      </c>
      <c r="F178" s="4">
        <v>7.92</v>
      </c>
      <c r="G178" s="4">
        <v>8.02</v>
      </c>
      <c r="H178" s="4">
        <v>122074</v>
      </c>
      <c r="I178" s="4">
        <v>615.29999999999995</v>
      </c>
      <c r="J178" s="4">
        <v>76720810</v>
      </c>
      <c r="M178">
        <f t="shared" si="6"/>
        <v>20.291342592592592</v>
      </c>
      <c r="N178" s="5">
        <f t="shared" si="7"/>
        <v>7.1695760598503744E-2</v>
      </c>
      <c r="O178" s="8">
        <f t="shared" si="8"/>
        <v>8.0199883186843302</v>
      </c>
    </row>
    <row r="179" spans="1:15" ht="15" customHeight="1" x14ac:dyDescent="0.25">
      <c r="A179" t="s">
        <v>10</v>
      </c>
      <c r="B179" t="s">
        <v>11</v>
      </c>
      <c r="C179" s="1">
        <v>45727</v>
      </c>
      <c r="D179" s="4">
        <v>7.9</v>
      </c>
      <c r="E179" s="4">
        <v>7.9</v>
      </c>
      <c r="F179" s="4">
        <v>7.4</v>
      </c>
      <c r="G179" s="4">
        <v>7.55</v>
      </c>
      <c r="H179" s="4">
        <v>391983</v>
      </c>
      <c r="I179" s="4">
        <v>579.24</v>
      </c>
      <c r="J179" s="4">
        <v>76720810</v>
      </c>
      <c r="M179">
        <f t="shared" si="6"/>
        <v>19.102199074074072</v>
      </c>
      <c r="N179" s="5">
        <f t="shared" si="7"/>
        <v>7.6158940397350994E-2</v>
      </c>
      <c r="O179" s="8">
        <f t="shared" si="8"/>
        <v>7.549972425994981</v>
      </c>
    </row>
    <row r="180" spans="1:15" ht="15" customHeight="1" x14ac:dyDescent="0.25">
      <c r="A180" t="s">
        <v>10</v>
      </c>
      <c r="B180" t="s">
        <v>11</v>
      </c>
      <c r="C180" s="1">
        <v>45728</v>
      </c>
      <c r="D180" s="4">
        <v>7.27</v>
      </c>
      <c r="E180" s="4">
        <v>7.47</v>
      </c>
      <c r="F180" s="4">
        <v>7.17</v>
      </c>
      <c r="G180" s="4">
        <v>7.42</v>
      </c>
      <c r="H180" s="4">
        <v>344394</v>
      </c>
      <c r="I180" s="4">
        <v>569.27</v>
      </c>
      <c r="J180" s="4">
        <v>76720810</v>
      </c>
      <c r="M180">
        <f t="shared" si="6"/>
        <v>18.773287037037036</v>
      </c>
      <c r="N180" s="5">
        <f t="shared" si="7"/>
        <v>7.7493261455525597E-2</v>
      </c>
      <c r="O180" s="8">
        <f t="shared" si="8"/>
        <v>7.4200207218875818</v>
      </c>
    </row>
    <row r="181" spans="1:15" ht="15" customHeight="1" x14ac:dyDescent="0.25">
      <c r="A181" t="s">
        <v>10</v>
      </c>
      <c r="B181" t="s">
        <v>11</v>
      </c>
      <c r="C181" s="1">
        <v>45729</v>
      </c>
      <c r="D181" s="4">
        <v>7.46</v>
      </c>
      <c r="E181" s="4">
        <v>7.53</v>
      </c>
      <c r="F181" s="4">
        <v>7.31</v>
      </c>
      <c r="G181" s="4">
        <v>7.4</v>
      </c>
      <c r="H181" s="4">
        <v>150606</v>
      </c>
      <c r="I181" s="4">
        <v>567.73</v>
      </c>
      <c r="J181" s="4">
        <v>76720810</v>
      </c>
      <c r="M181">
        <f t="shared" si="6"/>
        <v>18.722685185185185</v>
      </c>
      <c r="N181" s="5">
        <f t="shared" si="7"/>
        <v>7.7702702702702686E-2</v>
      </c>
      <c r="O181" s="8">
        <f t="shared" si="8"/>
        <v>7.3999479411127176</v>
      </c>
    </row>
    <row r="182" spans="1:15" ht="15" customHeight="1" x14ac:dyDescent="0.25">
      <c r="A182" t="s">
        <v>10</v>
      </c>
      <c r="B182" t="s">
        <v>11</v>
      </c>
      <c r="C182" s="1">
        <v>45730</v>
      </c>
      <c r="D182" s="4">
        <v>7.5</v>
      </c>
      <c r="E182" s="4">
        <v>7.5</v>
      </c>
      <c r="F182" s="4">
        <v>7.23</v>
      </c>
      <c r="G182" s="4">
        <v>7.4</v>
      </c>
      <c r="H182" s="4">
        <v>74053</v>
      </c>
      <c r="I182" s="4">
        <v>567.73</v>
      </c>
      <c r="J182" s="4">
        <v>76720810</v>
      </c>
      <c r="M182">
        <f t="shared" si="6"/>
        <v>18.722685185185185</v>
      </c>
      <c r="N182" s="5">
        <f t="shared" si="7"/>
        <v>7.7702702702702686E-2</v>
      </c>
      <c r="O182" s="8">
        <f t="shared" si="8"/>
        <v>7.3999479411127176</v>
      </c>
    </row>
    <row r="183" spans="1:15" ht="15" customHeight="1" x14ac:dyDescent="0.25">
      <c r="A183" t="s">
        <v>10</v>
      </c>
      <c r="B183" t="s">
        <v>11</v>
      </c>
      <c r="C183" s="1">
        <v>45733</v>
      </c>
      <c r="D183" s="4">
        <v>7.4</v>
      </c>
      <c r="E183" s="4">
        <v>7.7</v>
      </c>
      <c r="F183" s="4">
        <v>7.4</v>
      </c>
      <c r="G183" s="4">
        <v>7.65</v>
      </c>
      <c r="H183" s="4">
        <v>160862</v>
      </c>
      <c r="I183" s="4">
        <v>586.91</v>
      </c>
      <c r="J183" s="4">
        <v>76720810</v>
      </c>
      <c r="M183">
        <f t="shared" si="6"/>
        <v>19.355208333333334</v>
      </c>
      <c r="N183" s="5">
        <f t="shared" si="7"/>
        <v>7.5163398692810454E-2</v>
      </c>
      <c r="O183" s="8">
        <f t="shared" si="8"/>
        <v>7.6499453016723882</v>
      </c>
    </row>
    <row r="184" spans="1:15" ht="15" customHeight="1" x14ac:dyDescent="0.25">
      <c r="A184" t="s">
        <v>10</v>
      </c>
      <c r="B184" t="s">
        <v>11</v>
      </c>
      <c r="C184" s="1">
        <v>45734</v>
      </c>
      <c r="D184" s="4">
        <v>7.7750000000000004</v>
      </c>
      <c r="E184" s="4">
        <v>7.98</v>
      </c>
      <c r="F184" s="4">
        <v>7.69</v>
      </c>
      <c r="G184" s="4">
        <v>7.9</v>
      </c>
      <c r="H184" s="4">
        <v>224405</v>
      </c>
      <c r="I184" s="4">
        <v>606.09</v>
      </c>
      <c r="J184" s="4">
        <v>76720810</v>
      </c>
      <c r="M184">
        <f t="shared" si="6"/>
        <v>19.987731481481482</v>
      </c>
      <c r="N184" s="5">
        <f t="shared" si="7"/>
        <v>7.2784810126582264E-2</v>
      </c>
      <c r="O184" s="8">
        <f t="shared" si="8"/>
        <v>7.8999426622320597</v>
      </c>
    </row>
    <row r="185" spans="1:15" ht="15" customHeight="1" x14ac:dyDescent="0.25">
      <c r="A185" t="s">
        <v>10</v>
      </c>
      <c r="B185" t="s">
        <v>11</v>
      </c>
      <c r="C185" s="1">
        <v>45735</v>
      </c>
      <c r="D185" s="4">
        <v>7.82</v>
      </c>
      <c r="E185" s="4">
        <v>7.83</v>
      </c>
      <c r="F185" s="4">
        <v>7.35</v>
      </c>
      <c r="G185" s="4">
        <v>7.49</v>
      </c>
      <c r="H185" s="4">
        <v>189050</v>
      </c>
      <c r="I185" s="4">
        <v>574.64</v>
      </c>
      <c r="J185" s="4">
        <v>76720810</v>
      </c>
      <c r="M185">
        <f t="shared" si="6"/>
        <v>18.950393518518517</v>
      </c>
      <c r="N185" s="5">
        <f t="shared" si="7"/>
        <v>7.6769025367156199E-2</v>
      </c>
      <c r="O185" s="8">
        <f t="shared" si="8"/>
        <v>7.490014769134997</v>
      </c>
    </row>
    <row r="186" spans="1:15" ht="15" customHeight="1" x14ac:dyDescent="0.25">
      <c r="A186" t="s">
        <v>10</v>
      </c>
      <c r="B186" t="s">
        <v>11</v>
      </c>
      <c r="C186" s="1">
        <v>45736</v>
      </c>
      <c r="D186" s="4">
        <v>7.55</v>
      </c>
      <c r="E186" s="4">
        <v>7.61</v>
      </c>
      <c r="F186" s="4">
        <v>7.45</v>
      </c>
      <c r="G186" s="4">
        <v>7.5</v>
      </c>
      <c r="H186" s="4">
        <v>144850</v>
      </c>
      <c r="I186" s="4">
        <v>575.41</v>
      </c>
      <c r="J186" s="4">
        <v>76720810</v>
      </c>
      <c r="M186">
        <f t="shared" si="6"/>
        <v>18.975694444444443</v>
      </c>
      <c r="N186" s="5">
        <f t="shared" si="7"/>
        <v>7.6666666666666661E-2</v>
      </c>
      <c r="O186" s="8">
        <f t="shared" si="8"/>
        <v>7.5000511595224291</v>
      </c>
    </row>
    <row r="187" spans="1:15" ht="15" customHeight="1" x14ac:dyDescent="0.25">
      <c r="A187" t="s">
        <v>10</v>
      </c>
      <c r="B187" t="s">
        <v>11</v>
      </c>
      <c r="C187" s="1">
        <v>45737</v>
      </c>
      <c r="D187" s="4">
        <v>7.58</v>
      </c>
      <c r="E187" s="4">
        <v>7.6749999999999998</v>
      </c>
      <c r="F187" s="4">
        <v>7.49</v>
      </c>
      <c r="G187" s="4">
        <v>7.53</v>
      </c>
      <c r="H187" s="4">
        <v>272251</v>
      </c>
      <c r="I187" s="4">
        <v>577.71</v>
      </c>
      <c r="J187" s="4">
        <v>76720810</v>
      </c>
      <c r="M187">
        <f t="shared" si="6"/>
        <v>19.05159722222222</v>
      </c>
      <c r="N187" s="5">
        <f t="shared" si="7"/>
        <v>7.636122177954846E-2</v>
      </c>
      <c r="O187" s="8">
        <f t="shared" si="8"/>
        <v>7.5300299879524211</v>
      </c>
    </row>
    <row r="188" spans="1:15" ht="15" customHeight="1" x14ac:dyDescent="0.25">
      <c r="A188" t="s">
        <v>10</v>
      </c>
      <c r="B188" t="s">
        <v>11</v>
      </c>
      <c r="C188" s="1">
        <v>45740</v>
      </c>
      <c r="D188" s="4">
        <v>7.51</v>
      </c>
      <c r="E188" s="4">
        <v>7.74</v>
      </c>
      <c r="F188" s="4">
        <v>7.49</v>
      </c>
      <c r="G188" s="4">
        <v>7.59</v>
      </c>
      <c r="H188" s="4">
        <v>66898</v>
      </c>
      <c r="I188" s="4">
        <v>582.30999999999995</v>
      </c>
      <c r="J188" s="4">
        <v>76720810</v>
      </c>
      <c r="M188">
        <f t="shared" si="6"/>
        <v>19.203402777777775</v>
      </c>
      <c r="N188" s="5">
        <f t="shared" si="7"/>
        <v>7.575757575757576E-2</v>
      </c>
      <c r="O188" s="8">
        <f t="shared" si="8"/>
        <v>7.5899876448124051</v>
      </c>
    </row>
    <row r="189" spans="1:15" ht="15" customHeight="1" x14ac:dyDescent="0.25">
      <c r="A189" t="s">
        <v>10</v>
      </c>
      <c r="B189" t="s">
        <v>11</v>
      </c>
      <c r="C189" s="1">
        <v>45741</v>
      </c>
      <c r="D189" s="4">
        <v>7.7</v>
      </c>
      <c r="E189" s="4">
        <v>7.95</v>
      </c>
      <c r="F189" s="4">
        <v>7.64</v>
      </c>
      <c r="G189" s="4">
        <v>7.95</v>
      </c>
      <c r="H189" s="4">
        <v>105620</v>
      </c>
      <c r="I189" s="4">
        <v>609.92999999999995</v>
      </c>
      <c r="J189" s="4">
        <v>76720810</v>
      </c>
      <c r="M189">
        <f t="shared" si="6"/>
        <v>20.114236111111111</v>
      </c>
      <c r="N189" s="5">
        <f t="shared" si="7"/>
        <v>7.2327044025157231E-2</v>
      </c>
      <c r="O189" s="8">
        <f t="shared" si="8"/>
        <v>7.9499942714369149</v>
      </c>
    </row>
    <row r="190" spans="1:15" ht="15" customHeight="1" x14ac:dyDescent="0.25">
      <c r="A190" t="s">
        <v>10</v>
      </c>
      <c r="B190" t="s">
        <v>11</v>
      </c>
      <c r="C190" s="1">
        <v>45742</v>
      </c>
      <c r="D190" s="4">
        <v>8.0399999999999991</v>
      </c>
      <c r="E190" s="4">
        <v>8.2200000000000006</v>
      </c>
      <c r="F190" s="4">
        <v>7.95</v>
      </c>
      <c r="G190" s="4">
        <v>8.0399999999999991</v>
      </c>
      <c r="H190" s="4">
        <v>184687</v>
      </c>
      <c r="I190" s="4">
        <v>616.84</v>
      </c>
      <c r="J190" s="4">
        <v>76720810</v>
      </c>
      <c r="M190">
        <f t="shared" si="6"/>
        <v>20.34194444444444</v>
      </c>
      <c r="N190" s="5">
        <f t="shared" si="7"/>
        <v>7.1517412935323391E-2</v>
      </c>
      <c r="O190" s="8">
        <f t="shared" si="8"/>
        <v>8.0400610994591943</v>
      </c>
    </row>
    <row r="191" spans="1:15" ht="15" customHeight="1" x14ac:dyDescent="0.25">
      <c r="A191" t="s">
        <v>10</v>
      </c>
      <c r="B191" t="s">
        <v>11</v>
      </c>
      <c r="C191" s="1">
        <v>45743</v>
      </c>
      <c r="D191" s="4">
        <v>8.0500000000000007</v>
      </c>
      <c r="E191" s="4">
        <v>8.06</v>
      </c>
      <c r="F191" s="4">
        <v>7.86</v>
      </c>
      <c r="G191" s="4">
        <v>8</v>
      </c>
      <c r="H191" s="4">
        <v>53941</v>
      </c>
      <c r="I191" s="4">
        <v>613.77</v>
      </c>
      <c r="J191" s="4">
        <v>76720810</v>
      </c>
      <c r="M191">
        <f t="shared" si="6"/>
        <v>20.24074074074074</v>
      </c>
      <c r="N191" s="5">
        <f t="shared" si="7"/>
        <v>7.1874999999999994E-2</v>
      </c>
      <c r="O191" s="8">
        <f t="shared" si="8"/>
        <v>8.0000458806417711</v>
      </c>
    </row>
    <row r="192" spans="1:15" ht="15" customHeight="1" x14ac:dyDescent="0.25">
      <c r="A192" t="s">
        <v>10</v>
      </c>
      <c r="B192" t="s">
        <v>11</v>
      </c>
      <c r="C192" s="1">
        <v>45744</v>
      </c>
      <c r="D192" s="4">
        <v>7.6</v>
      </c>
      <c r="E192" s="4">
        <v>8.1349999999999998</v>
      </c>
      <c r="F192" s="4">
        <v>7.6</v>
      </c>
      <c r="G192" s="4">
        <v>8.1199999999999992</v>
      </c>
      <c r="H192" s="4">
        <v>65492</v>
      </c>
      <c r="I192" s="4">
        <v>622.97</v>
      </c>
      <c r="J192" s="4">
        <v>76720810</v>
      </c>
      <c r="M192">
        <f t="shared" si="6"/>
        <v>20.54435185185185</v>
      </c>
      <c r="N192" s="5">
        <f t="shared" si="7"/>
        <v>7.0812807881773396E-2</v>
      </c>
      <c r="O192" s="8">
        <f t="shared" si="8"/>
        <v>8.1199611943617391</v>
      </c>
    </row>
    <row r="193" spans="1:15" ht="15" customHeight="1" x14ac:dyDescent="0.25">
      <c r="A193" t="s">
        <v>10</v>
      </c>
      <c r="B193" t="s">
        <v>11</v>
      </c>
      <c r="C193" s="1">
        <v>45747</v>
      </c>
      <c r="D193" s="4">
        <v>8.0500000000000007</v>
      </c>
      <c r="E193" s="4">
        <v>8.08</v>
      </c>
      <c r="F193" s="4">
        <v>7.51</v>
      </c>
      <c r="G193" s="4">
        <v>7.72</v>
      </c>
      <c r="H193" s="4">
        <v>97850</v>
      </c>
      <c r="I193" s="4">
        <v>592.28</v>
      </c>
      <c r="J193" s="4">
        <v>76720810</v>
      </c>
      <c r="M193">
        <f t="shared" si="6"/>
        <v>19.532314814814814</v>
      </c>
      <c r="N193" s="5">
        <f t="shared" si="7"/>
        <v>7.4481865284974094E-2</v>
      </c>
      <c r="O193" s="8">
        <f t="shared" si="8"/>
        <v>7.7199393489198043</v>
      </c>
    </row>
    <row r="194" spans="1:15" ht="15" customHeight="1" x14ac:dyDescent="0.25">
      <c r="A194" t="s">
        <v>10</v>
      </c>
      <c r="B194" t="s">
        <v>11</v>
      </c>
      <c r="C194" s="1">
        <v>45748</v>
      </c>
      <c r="D194" s="4">
        <v>7.51</v>
      </c>
      <c r="E194" s="4">
        <v>7.6950000000000003</v>
      </c>
      <c r="F194" s="4">
        <v>7.45</v>
      </c>
      <c r="G194" s="4">
        <v>7.46</v>
      </c>
      <c r="H194" s="4">
        <v>87962</v>
      </c>
      <c r="I194" s="4">
        <v>572.34</v>
      </c>
      <c r="J194" s="4">
        <v>76720810</v>
      </c>
      <c r="M194">
        <f t="shared" si="6"/>
        <v>18.87449074074074</v>
      </c>
      <c r="N194" s="5">
        <f t="shared" si="7"/>
        <v>7.7077747989276135E-2</v>
      </c>
      <c r="O194" s="8">
        <f t="shared" si="8"/>
        <v>7.4600359407050059</v>
      </c>
    </row>
    <row r="195" spans="1:15" ht="15" customHeight="1" x14ac:dyDescent="0.25">
      <c r="A195" t="s">
        <v>10</v>
      </c>
      <c r="B195" t="s">
        <v>11</v>
      </c>
      <c r="C195" s="1">
        <v>45749</v>
      </c>
      <c r="D195" s="4">
        <v>7.55</v>
      </c>
      <c r="E195" s="4">
        <v>7.55</v>
      </c>
      <c r="F195" s="4">
        <v>7.34</v>
      </c>
      <c r="G195" s="4">
        <v>7.4</v>
      </c>
      <c r="H195" s="4">
        <v>102884</v>
      </c>
      <c r="I195" s="4">
        <v>567.73</v>
      </c>
      <c r="J195" s="4">
        <v>76720810</v>
      </c>
      <c r="M195">
        <f t="shared" ref="M195:M254" si="9">G195/$L$2</f>
        <v>18.722685185185185</v>
      </c>
      <c r="N195" s="5">
        <f t="shared" ref="N195:N254" si="10">$K$2/G195</f>
        <v>7.7702702702702686E-2</v>
      </c>
      <c r="O195" s="8">
        <f t="shared" ref="O195:O254" si="11">I195 * 1000000 / J195</f>
        <v>7.3999479411127176</v>
      </c>
    </row>
    <row r="196" spans="1:15" ht="15" customHeight="1" x14ac:dyDescent="0.25">
      <c r="A196" t="s">
        <v>10</v>
      </c>
      <c r="B196" t="s">
        <v>11</v>
      </c>
      <c r="C196" s="1">
        <v>45750</v>
      </c>
      <c r="D196" s="4">
        <v>7.4</v>
      </c>
      <c r="E196" s="4">
        <v>7.57</v>
      </c>
      <c r="F196" s="4">
        <v>7.21</v>
      </c>
      <c r="G196" s="4">
        <v>7.53</v>
      </c>
      <c r="H196" s="4">
        <v>64831</v>
      </c>
      <c r="I196" s="4">
        <v>577.71</v>
      </c>
      <c r="J196" s="4">
        <v>76720810</v>
      </c>
      <c r="M196">
        <f t="shared" si="9"/>
        <v>19.05159722222222</v>
      </c>
      <c r="N196" s="5">
        <f t="shared" si="10"/>
        <v>7.636122177954846E-2</v>
      </c>
      <c r="O196" s="8">
        <f t="shared" si="11"/>
        <v>7.5300299879524211</v>
      </c>
    </row>
    <row r="197" spans="1:15" ht="15" customHeight="1" x14ac:dyDescent="0.25">
      <c r="A197" t="s">
        <v>10</v>
      </c>
      <c r="B197" t="s">
        <v>11</v>
      </c>
      <c r="C197" s="1">
        <v>45751</v>
      </c>
      <c r="D197" s="4">
        <v>7.39</v>
      </c>
      <c r="E197" s="4">
        <v>7.51</v>
      </c>
      <c r="F197" s="4">
        <v>7.03</v>
      </c>
      <c r="G197" s="4">
        <v>7.2</v>
      </c>
      <c r="H197" s="4">
        <v>107518</v>
      </c>
      <c r="I197" s="4">
        <v>552.39</v>
      </c>
      <c r="J197" s="4">
        <v>76720810</v>
      </c>
      <c r="M197">
        <f t="shared" si="9"/>
        <v>18.216666666666665</v>
      </c>
      <c r="N197" s="5">
        <f t="shared" si="10"/>
        <v>7.9861111111111105E-2</v>
      </c>
      <c r="O197" s="8">
        <f t="shared" si="11"/>
        <v>7.2000021897579023</v>
      </c>
    </row>
    <row r="198" spans="1:15" ht="15" customHeight="1" x14ac:dyDescent="0.25">
      <c r="A198" t="s">
        <v>10</v>
      </c>
      <c r="B198" t="s">
        <v>11</v>
      </c>
      <c r="C198" s="1">
        <v>45754</v>
      </c>
      <c r="D198" s="4">
        <v>6.7</v>
      </c>
      <c r="E198" s="4">
        <v>7</v>
      </c>
      <c r="F198" s="4">
        <v>6.58</v>
      </c>
      <c r="G198" s="4">
        <v>6.95</v>
      </c>
      <c r="H198" s="4">
        <v>175385</v>
      </c>
      <c r="I198" s="4">
        <v>533.21</v>
      </c>
      <c r="J198" s="4">
        <v>76720810</v>
      </c>
      <c r="M198">
        <f t="shared" si="9"/>
        <v>17.58414351851852</v>
      </c>
      <c r="N198" s="5">
        <f t="shared" si="10"/>
        <v>8.2733812949640273E-2</v>
      </c>
      <c r="O198" s="8">
        <f t="shared" si="11"/>
        <v>6.9500048291982326</v>
      </c>
    </row>
    <row r="199" spans="1:15" ht="15" customHeight="1" x14ac:dyDescent="0.25">
      <c r="A199" t="s">
        <v>10</v>
      </c>
      <c r="B199" t="s">
        <v>11</v>
      </c>
      <c r="C199" s="1">
        <v>45755</v>
      </c>
      <c r="D199" s="4">
        <v>6.91</v>
      </c>
      <c r="E199" s="4">
        <v>7.12</v>
      </c>
      <c r="F199" s="4">
        <v>6.84</v>
      </c>
      <c r="G199" s="4">
        <v>6.91</v>
      </c>
      <c r="H199" s="4">
        <v>207524</v>
      </c>
      <c r="I199" s="4">
        <v>530.14</v>
      </c>
      <c r="J199" s="4">
        <v>76720810</v>
      </c>
      <c r="M199">
        <f t="shared" si="9"/>
        <v>17.482939814814813</v>
      </c>
      <c r="N199" s="5">
        <f t="shared" si="10"/>
        <v>8.3212735166425467E-2</v>
      </c>
      <c r="O199" s="8">
        <f t="shared" si="11"/>
        <v>6.9099896103808076</v>
      </c>
    </row>
    <row r="200" spans="1:15" ht="15" customHeight="1" x14ac:dyDescent="0.25">
      <c r="A200" t="s">
        <v>10</v>
      </c>
      <c r="B200" t="s">
        <v>11</v>
      </c>
      <c r="C200" s="1">
        <v>45756</v>
      </c>
      <c r="D200" s="4">
        <v>6.91</v>
      </c>
      <c r="E200" s="4">
        <v>6.99</v>
      </c>
      <c r="F200" s="4">
        <v>6.74</v>
      </c>
      <c r="G200" s="4">
        <v>6.86</v>
      </c>
      <c r="H200" s="4">
        <v>78112</v>
      </c>
      <c r="I200" s="4">
        <v>526.29999999999995</v>
      </c>
      <c r="J200" s="4">
        <v>76720810</v>
      </c>
      <c r="M200">
        <f t="shared" si="9"/>
        <v>17.356435185185184</v>
      </c>
      <c r="N200" s="5">
        <f t="shared" si="10"/>
        <v>8.3819241982507273E-2</v>
      </c>
      <c r="O200" s="8">
        <f t="shared" si="11"/>
        <v>6.8599380011759514</v>
      </c>
    </row>
    <row r="201" spans="1:15" ht="15" customHeight="1" x14ac:dyDescent="0.25">
      <c r="A201" t="s">
        <v>10</v>
      </c>
      <c r="B201" t="s">
        <v>11</v>
      </c>
      <c r="C201" s="1">
        <v>45757</v>
      </c>
      <c r="D201" s="4">
        <v>7.15</v>
      </c>
      <c r="E201" s="4">
        <v>7.5</v>
      </c>
      <c r="F201" s="4">
        <v>7.15</v>
      </c>
      <c r="G201" s="4">
        <v>7.45</v>
      </c>
      <c r="H201" s="4">
        <v>171903</v>
      </c>
      <c r="I201" s="4">
        <v>571.57000000000005</v>
      </c>
      <c r="J201" s="4">
        <v>76720810</v>
      </c>
      <c r="M201">
        <f t="shared" si="9"/>
        <v>18.849189814814814</v>
      </c>
      <c r="N201" s="5">
        <f t="shared" si="10"/>
        <v>7.7181208053691261E-2</v>
      </c>
      <c r="O201" s="8">
        <f t="shared" si="11"/>
        <v>7.4499995503175738</v>
      </c>
    </row>
    <row r="202" spans="1:15" ht="15" customHeight="1" x14ac:dyDescent="0.25">
      <c r="A202" t="s">
        <v>10</v>
      </c>
      <c r="B202" t="s">
        <v>11</v>
      </c>
      <c r="C202" s="1">
        <v>45758</v>
      </c>
      <c r="D202" s="4">
        <v>7.41</v>
      </c>
      <c r="E202" s="4">
        <v>7.41</v>
      </c>
      <c r="F202" s="4">
        <v>7.14</v>
      </c>
      <c r="G202" s="4">
        <v>7.2</v>
      </c>
      <c r="H202" s="4">
        <v>67609</v>
      </c>
      <c r="I202" s="4">
        <v>552.39</v>
      </c>
      <c r="J202" s="4">
        <v>76720810</v>
      </c>
      <c r="M202">
        <f t="shared" si="9"/>
        <v>18.216666666666665</v>
      </c>
      <c r="N202" s="5">
        <f t="shared" si="10"/>
        <v>7.9861111111111105E-2</v>
      </c>
      <c r="O202" s="8">
        <f t="shared" si="11"/>
        <v>7.2000021897579023</v>
      </c>
    </row>
    <row r="203" spans="1:15" ht="15" customHeight="1" x14ac:dyDescent="0.25">
      <c r="A203" t="s">
        <v>10</v>
      </c>
      <c r="B203" t="s">
        <v>11</v>
      </c>
      <c r="C203" s="1">
        <v>45761</v>
      </c>
      <c r="D203" s="4">
        <v>7.25</v>
      </c>
      <c r="E203" s="4">
        <v>7.5</v>
      </c>
      <c r="F203" s="4">
        <v>7.19</v>
      </c>
      <c r="G203" s="4">
        <v>7.34</v>
      </c>
      <c r="H203" s="4">
        <v>108996</v>
      </c>
      <c r="I203" s="4">
        <v>563.13</v>
      </c>
      <c r="J203" s="4">
        <v>76720810</v>
      </c>
      <c r="M203">
        <f t="shared" si="9"/>
        <v>18.57087962962963</v>
      </c>
      <c r="N203" s="5">
        <f t="shared" si="10"/>
        <v>7.8337874659400536E-2</v>
      </c>
      <c r="O203" s="8">
        <f t="shared" si="11"/>
        <v>7.3399902842527345</v>
      </c>
    </row>
    <row r="204" spans="1:15" ht="15" customHeight="1" x14ac:dyDescent="0.25">
      <c r="A204" t="s">
        <v>10</v>
      </c>
      <c r="B204" t="s">
        <v>11</v>
      </c>
      <c r="C204" s="1">
        <v>45762</v>
      </c>
      <c r="D204" s="4">
        <v>7.33</v>
      </c>
      <c r="E204" s="4">
        <v>7.54</v>
      </c>
      <c r="F204" s="4">
        <v>7.33</v>
      </c>
      <c r="G204" s="4">
        <v>7.46</v>
      </c>
      <c r="H204" s="4">
        <v>68126</v>
      </c>
      <c r="I204" s="4">
        <v>572.34</v>
      </c>
      <c r="J204" s="4">
        <v>76720810</v>
      </c>
      <c r="M204">
        <f t="shared" si="9"/>
        <v>18.87449074074074</v>
      </c>
      <c r="N204" s="5">
        <f t="shared" si="10"/>
        <v>7.7077747989276135E-2</v>
      </c>
      <c r="O204" s="8">
        <f t="shared" si="11"/>
        <v>7.4600359407050059</v>
      </c>
    </row>
    <row r="205" spans="1:15" ht="15" customHeight="1" x14ac:dyDescent="0.25">
      <c r="A205" t="s">
        <v>10</v>
      </c>
      <c r="B205" t="s">
        <v>11</v>
      </c>
      <c r="C205" s="1">
        <v>45763</v>
      </c>
      <c r="D205" s="4">
        <v>7.55</v>
      </c>
      <c r="E205" s="4">
        <v>7.56</v>
      </c>
      <c r="F205" s="4">
        <v>7.28</v>
      </c>
      <c r="G205" s="4">
        <v>7.5</v>
      </c>
      <c r="H205" s="4">
        <v>70451</v>
      </c>
      <c r="I205" s="4">
        <v>575.41</v>
      </c>
      <c r="J205" s="4">
        <v>76720810</v>
      </c>
      <c r="M205">
        <f t="shared" si="9"/>
        <v>18.975694444444443</v>
      </c>
      <c r="N205" s="5">
        <f t="shared" si="10"/>
        <v>7.6666666666666661E-2</v>
      </c>
      <c r="O205" s="8">
        <f t="shared" si="11"/>
        <v>7.5000511595224291</v>
      </c>
    </row>
    <row r="206" spans="1:15" ht="15" customHeight="1" x14ac:dyDescent="0.25">
      <c r="A206" t="s">
        <v>10</v>
      </c>
      <c r="B206" t="s">
        <v>11</v>
      </c>
      <c r="C206" s="1">
        <v>45764</v>
      </c>
      <c r="D206" s="4">
        <v>7.53</v>
      </c>
      <c r="E206" s="4">
        <v>7.67</v>
      </c>
      <c r="F206" s="4">
        <v>7.32</v>
      </c>
      <c r="G206" s="4">
        <v>7.45</v>
      </c>
      <c r="H206" s="4">
        <v>42383</v>
      </c>
      <c r="I206" s="4">
        <v>571.57000000000005</v>
      </c>
      <c r="J206" s="4">
        <v>76720810</v>
      </c>
      <c r="M206">
        <f t="shared" si="9"/>
        <v>18.849189814814814</v>
      </c>
      <c r="N206" s="5">
        <f t="shared" si="10"/>
        <v>7.7181208053691261E-2</v>
      </c>
      <c r="O206" s="8">
        <f t="shared" si="11"/>
        <v>7.4499995503175738</v>
      </c>
    </row>
    <row r="207" spans="1:15" ht="15" customHeight="1" x14ac:dyDescent="0.25">
      <c r="A207" t="s">
        <v>10</v>
      </c>
      <c r="B207" t="s">
        <v>11</v>
      </c>
      <c r="C207" s="1">
        <v>45769</v>
      </c>
      <c r="D207" s="4">
        <v>7.45</v>
      </c>
      <c r="E207" s="4">
        <v>7.51</v>
      </c>
      <c r="F207" s="4">
        <v>7.3</v>
      </c>
      <c r="G207" s="4">
        <v>7.34</v>
      </c>
      <c r="H207" s="4">
        <v>29600</v>
      </c>
      <c r="I207" s="4">
        <v>563.13</v>
      </c>
      <c r="J207" s="4">
        <v>76720810</v>
      </c>
      <c r="M207">
        <f t="shared" si="9"/>
        <v>18.57087962962963</v>
      </c>
      <c r="N207" s="5">
        <f t="shared" si="10"/>
        <v>7.8337874659400536E-2</v>
      </c>
      <c r="O207" s="8">
        <f t="shared" si="11"/>
        <v>7.3399902842527345</v>
      </c>
    </row>
    <row r="208" spans="1:15" ht="15" customHeight="1" x14ac:dyDescent="0.25">
      <c r="A208" t="s">
        <v>10</v>
      </c>
      <c r="B208" t="s">
        <v>11</v>
      </c>
      <c r="C208" s="1">
        <v>45770</v>
      </c>
      <c r="D208" s="4">
        <v>7.38</v>
      </c>
      <c r="E208" s="4">
        <v>8</v>
      </c>
      <c r="F208" s="4">
        <v>7.38</v>
      </c>
      <c r="G208" s="4">
        <v>7.76</v>
      </c>
      <c r="H208" s="4">
        <v>52082</v>
      </c>
      <c r="I208" s="4">
        <v>595.35</v>
      </c>
      <c r="J208" s="4">
        <v>76720810</v>
      </c>
      <c r="M208">
        <f t="shared" si="9"/>
        <v>19.633518518518517</v>
      </c>
      <c r="N208" s="5">
        <f t="shared" si="10"/>
        <v>7.4097938144329897E-2</v>
      </c>
      <c r="O208" s="8">
        <f t="shared" si="11"/>
        <v>7.7599545677372284</v>
      </c>
    </row>
    <row r="209" spans="1:15" ht="15" customHeight="1" x14ac:dyDescent="0.25">
      <c r="A209" t="s">
        <v>10</v>
      </c>
      <c r="B209" t="s">
        <v>11</v>
      </c>
      <c r="C209" s="1">
        <v>45771</v>
      </c>
      <c r="D209" s="4">
        <v>7.76</v>
      </c>
      <c r="E209" s="4">
        <v>7.86</v>
      </c>
      <c r="F209" s="4">
        <v>7.55</v>
      </c>
      <c r="G209" s="4">
        <v>7.65</v>
      </c>
      <c r="H209" s="4">
        <v>69125</v>
      </c>
      <c r="I209" s="4">
        <v>586.91</v>
      </c>
      <c r="J209" s="4">
        <v>76720810</v>
      </c>
      <c r="M209">
        <f t="shared" si="9"/>
        <v>19.355208333333334</v>
      </c>
      <c r="N209" s="5">
        <f t="shared" si="10"/>
        <v>7.5163398692810454E-2</v>
      </c>
      <c r="O209" s="8">
        <f t="shared" si="11"/>
        <v>7.6499453016723882</v>
      </c>
    </row>
    <row r="210" spans="1:15" ht="15" customHeight="1" x14ac:dyDescent="0.25">
      <c r="A210" t="s">
        <v>10</v>
      </c>
      <c r="B210" t="s">
        <v>11</v>
      </c>
      <c r="C210" s="1">
        <v>45775</v>
      </c>
      <c r="D210" s="4">
        <v>7.88</v>
      </c>
      <c r="E210" s="4">
        <v>7.88</v>
      </c>
      <c r="F210" s="4">
        <v>7.5</v>
      </c>
      <c r="G210" s="4">
        <v>7.65</v>
      </c>
      <c r="H210" s="4">
        <v>66116</v>
      </c>
      <c r="I210" s="4">
        <v>586.91</v>
      </c>
      <c r="J210" s="4">
        <v>76720810</v>
      </c>
      <c r="M210">
        <f t="shared" si="9"/>
        <v>19.355208333333334</v>
      </c>
      <c r="N210" s="5">
        <f t="shared" si="10"/>
        <v>7.5163398692810454E-2</v>
      </c>
      <c r="O210" s="8">
        <f t="shared" si="11"/>
        <v>7.6499453016723882</v>
      </c>
    </row>
    <row r="211" spans="1:15" ht="15" customHeight="1" x14ac:dyDescent="0.25">
      <c r="A211" t="s">
        <v>10</v>
      </c>
      <c r="B211" t="s">
        <v>11</v>
      </c>
      <c r="C211" s="1">
        <v>45776</v>
      </c>
      <c r="D211" s="4">
        <v>7.73</v>
      </c>
      <c r="E211" s="4">
        <v>7.87</v>
      </c>
      <c r="F211" s="4">
        <v>7.65</v>
      </c>
      <c r="G211" s="4">
        <v>7.87</v>
      </c>
      <c r="H211" s="4">
        <v>35407</v>
      </c>
      <c r="I211" s="4">
        <v>603.79</v>
      </c>
      <c r="J211" s="4">
        <v>76720810</v>
      </c>
      <c r="M211">
        <f t="shared" si="9"/>
        <v>19.911828703703701</v>
      </c>
      <c r="N211" s="5">
        <f t="shared" si="10"/>
        <v>7.306226175349427E-2</v>
      </c>
      <c r="O211" s="8">
        <f t="shared" si="11"/>
        <v>7.8699638338020677</v>
      </c>
    </row>
    <row r="212" spans="1:15" ht="15" customHeight="1" x14ac:dyDescent="0.25">
      <c r="A212" t="s">
        <v>10</v>
      </c>
      <c r="B212" t="s">
        <v>11</v>
      </c>
      <c r="C212" s="1">
        <v>45777</v>
      </c>
      <c r="D212" s="4">
        <v>8.0299999999999994</v>
      </c>
      <c r="E212" s="4">
        <v>8.0299999999999994</v>
      </c>
      <c r="F212" s="4">
        <v>7.65</v>
      </c>
      <c r="G212" s="4">
        <v>7.74</v>
      </c>
      <c r="H212" s="4">
        <v>31632</v>
      </c>
      <c r="I212" s="4">
        <v>593.82000000000005</v>
      </c>
      <c r="J212" s="4">
        <v>76720810</v>
      </c>
      <c r="M212">
        <f t="shared" si="9"/>
        <v>19.582916666666666</v>
      </c>
      <c r="N212" s="5">
        <f t="shared" si="10"/>
        <v>7.428940568475452E-2</v>
      </c>
      <c r="O212" s="8">
        <f t="shared" si="11"/>
        <v>7.7400121296946685</v>
      </c>
    </row>
    <row r="213" spans="1:15" ht="15" customHeight="1" x14ac:dyDescent="0.25">
      <c r="A213" t="s">
        <v>10</v>
      </c>
      <c r="B213" t="s">
        <v>11</v>
      </c>
      <c r="C213" s="1">
        <v>45778</v>
      </c>
      <c r="D213" s="4">
        <v>7.85</v>
      </c>
      <c r="E213" s="4">
        <v>7.95</v>
      </c>
      <c r="F213" s="4">
        <v>7.65</v>
      </c>
      <c r="G213" s="4">
        <v>7.65</v>
      </c>
      <c r="H213" s="4">
        <v>35610</v>
      </c>
      <c r="I213" s="4">
        <v>586.91</v>
      </c>
      <c r="J213" s="4">
        <v>76720810</v>
      </c>
      <c r="M213">
        <f t="shared" si="9"/>
        <v>19.355208333333334</v>
      </c>
      <c r="N213" s="5">
        <f t="shared" si="10"/>
        <v>7.5163398692810454E-2</v>
      </c>
      <c r="O213" s="8">
        <f t="shared" si="11"/>
        <v>7.6499453016723882</v>
      </c>
    </row>
    <row r="214" spans="1:15" ht="15" customHeight="1" x14ac:dyDescent="0.25">
      <c r="A214" t="s">
        <v>10</v>
      </c>
      <c r="B214" t="s">
        <v>11</v>
      </c>
      <c r="C214" s="1">
        <v>45779</v>
      </c>
      <c r="D214" s="4">
        <v>7.66</v>
      </c>
      <c r="E214" s="4">
        <v>7.91</v>
      </c>
      <c r="F214" s="4">
        <v>7.63</v>
      </c>
      <c r="G214" s="4">
        <v>7.81</v>
      </c>
      <c r="H214" s="4">
        <v>31287</v>
      </c>
      <c r="I214" s="4">
        <v>599.19000000000005</v>
      </c>
      <c r="J214" s="4">
        <v>76720810</v>
      </c>
      <c r="M214">
        <f t="shared" si="9"/>
        <v>19.760023148148147</v>
      </c>
      <c r="N214" s="5">
        <f t="shared" si="10"/>
        <v>7.3623559539052488E-2</v>
      </c>
      <c r="O214" s="8">
        <f t="shared" si="11"/>
        <v>7.8100061769420837</v>
      </c>
    </row>
    <row r="215" spans="1:15" ht="15" customHeight="1" x14ac:dyDescent="0.25">
      <c r="A215" t="s">
        <v>10</v>
      </c>
      <c r="B215" t="s">
        <v>11</v>
      </c>
      <c r="C215" s="1">
        <v>45782</v>
      </c>
      <c r="D215" s="4">
        <v>7.88</v>
      </c>
      <c r="E215" s="4">
        <v>7.95</v>
      </c>
      <c r="F215" s="4">
        <v>7.65</v>
      </c>
      <c r="G215" s="4">
        <v>7.67</v>
      </c>
      <c r="H215" s="4">
        <v>19866</v>
      </c>
      <c r="I215" s="4">
        <v>588.45000000000005</v>
      </c>
      <c r="J215" s="4">
        <v>76720810</v>
      </c>
      <c r="M215">
        <f t="shared" si="9"/>
        <v>19.405810185185185</v>
      </c>
      <c r="N215" s="5">
        <f t="shared" si="10"/>
        <v>7.4967405475880045E-2</v>
      </c>
      <c r="O215" s="8">
        <f t="shared" si="11"/>
        <v>7.6700180824472524</v>
      </c>
    </row>
    <row r="216" spans="1:15" ht="15" customHeight="1" x14ac:dyDescent="0.25">
      <c r="A216" t="s">
        <v>10</v>
      </c>
      <c r="B216" t="s">
        <v>11</v>
      </c>
      <c r="C216" s="1">
        <v>45783</v>
      </c>
      <c r="D216" s="4">
        <v>7.63</v>
      </c>
      <c r="E216" s="4">
        <v>7.91</v>
      </c>
      <c r="F216" s="4">
        <v>7.53</v>
      </c>
      <c r="G216" s="4">
        <v>7.79</v>
      </c>
      <c r="H216" s="4">
        <v>35654</v>
      </c>
      <c r="I216" s="4">
        <v>597.66</v>
      </c>
      <c r="J216" s="4">
        <v>76720810</v>
      </c>
      <c r="M216">
        <f t="shared" si="9"/>
        <v>19.709421296296295</v>
      </c>
      <c r="N216" s="5">
        <f t="shared" si="10"/>
        <v>7.3812580231065461E-2</v>
      </c>
      <c r="O216" s="8">
        <f t="shared" si="11"/>
        <v>7.7900637388995237</v>
      </c>
    </row>
    <row r="217" spans="1:15" ht="15" customHeight="1" x14ac:dyDescent="0.25">
      <c r="A217" t="s">
        <v>10</v>
      </c>
      <c r="B217" t="s">
        <v>11</v>
      </c>
      <c r="C217" s="1">
        <v>45784</v>
      </c>
      <c r="D217" s="4">
        <v>7.83</v>
      </c>
      <c r="E217" s="4">
        <v>7.94</v>
      </c>
      <c r="F217" s="4">
        <v>7.58</v>
      </c>
      <c r="G217" s="4">
        <v>7.86</v>
      </c>
      <c r="H217" s="4">
        <v>25224</v>
      </c>
      <c r="I217" s="4">
        <v>603.03</v>
      </c>
      <c r="J217" s="4">
        <v>76720810</v>
      </c>
      <c r="M217">
        <f t="shared" si="9"/>
        <v>19.886527777777779</v>
      </c>
      <c r="N217" s="5">
        <f t="shared" si="10"/>
        <v>7.3155216284987265E-2</v>
      </c>
      <c r="O217" s="8">
        <f t="shared" si="11"/>
        <v>7.8600577861469398</v>
      </c>
    </row>
    <row r="218" spans="1:15" ht="15" customHeight="1" x14ac:dyDescent="0.25">
      <c r="A218" t="s">
        <v>10</v>
      </c>
      <c r="B218" t="s">
        <v>11</v>
      </c>
      <c r="C218" s="1">
        <v>45785</v>
      </c>
      <c r="D218" s="4">
        <v>7.92</v>
      </c>
      <c r="E218" s="4">
        <v>7.92</v>
      </c>
      <c r="F218" s="4">
        <v>7.7649999999999997</v>
      </c>
      <c r="G218" s="4">
        <v>7.9</v>
      </c>
      <c r="H218" s="4">
        <v>13771</v>
      </c>
      <c r="I218" s="4">
        <v>606.09</v>
      </c>
      <c r="J218" s="4">
        <v>76720810</v>
      </c>
      <c r="M218">
        <f t="shared" si="9"/>
        <v>19.987731481481482</v>
      </c>
      <c r="N218" s="5">
        <f t="shared" si="10"/>
        <v>7.2784810126582264E-2</v>
      </c>
      <c r="O218" s="8">
        <f t="shared" si="11"/>
        <v>7.8999426622320597</v>
      </c>
    </row>
    <row r="219" spans="1:15" ht="15" customHeight="1" x14ac:dyDescent="0.25">
      <c r="A219" t="s">
        <v>10</v>
      </c>
      <c r="B219" t="s">
        <v>11</v>
      </c>
      <c r="C219" s="1">
        <v>45786</v>
      </c>
      <c r="D219" s="4">
        <v>7.9349999999999996</v>
      </c>
      <c r="E219" s="4">
        <v>8.01</v>
      </c>
      <c r="F219" s="4">
        <v>7.78</v>
      </c>
      <c r="G219" s="4">
        <v>7.94</v>
      </c>
      <c r="H219" s="4">
        <v>63629</v>
      </c>
      <c r="I219" s="4">
        <v>609.16</v>
      </c>
      <c r="J219" s="4">
        <v>76720810</v>
      </c>
      <c r="M219">
        <f t="shared" si="9"/>
        <v>20.088935185185186</v>
      </c>
      <c r="N219" s="5">
        <f t="shared" si="10"/>
        <v>7.2418136020151125E-2</v>
      </c>
      <c r="O219" s="8">
        <f t="shared" si="11"/>
        <v>7.9399578810494829</v>
      </c>
    </row>
    <row r="220" spans="1:15" ht="15" customHeight="1" x14ac:dyDescent="0.25">
      <c r="A220" t="s">
        <v>10</v>
      </c>
      <c r="B220" t="s">
        <v>11</v>
      </c>
      <c r="C220" s="1">
        <v>45789</v>
      </c>
      <c r="D220" s="4">
        <v>7.98</v>
      </c>
      <c r="E220" s="4">
        <v>8.24</v>
      </c>
      <c r="F220" s="4">
        <v>7.98</v>
      </c>
      <c r="G220" s="4">
        <v>8.17</v>
      </c>
      <c r="H220" s="4">
        <v>172394</v>
      </c>
      <c r="I220" s="4">
        <v>626.80999999999995</v>
      </c>
      <c r="J220" s="4">
        <v>76720810</v>
      </c>
      <c r="M220">
        <f t="shared" si="9"/>
        <v>20.670856481481479</v>
      </c>
      <c r="N220" s="5">
        <f t="shared" si="10"/>
        <v>7.0379436964504286E-2</v>
      </c>
      <c r="O220" s="8">
        <f t="shared" si="11"/>
        <v>8.1700128035665944</v>
      </c>
    </row>
    <row r="221" spans="1:15" ht="15" customHeight="1" x14ac:dyDescent="0.25">
      <c r="A221" t="s">
        <v>10</v>
      </c>
      <c r="B221" t="s">
        <v>11</v>
      </c>
      <c r="C221" s="1">
        <v>45790</v>
      </c>
      <c r="D221" s="4">
        <v>8.1999999999999993</v>
      </c>
      <c r="E221" s="4">
        <v>8.66</v>
      </c>
      <c r="F221" s="4">
        <v>8.1999999999999993</v>
      </c>
      <c r="G221" s="4">
        <v>8.64</v>
      </c>
      <c r="H221" s="4">
        <v>145923</v>
      </c>
      <c r="I221" s="4">
        <v>662.87</v>
      </c>
      <c r="J221" s="4">
        <v>76720810</v>
      </c>
      <c r="M221">
        <f t="shared" si="9"/>
        <v>21.86</v>
      </c>
      <c r="N221" s="5">
        <f t="shared" si="10"/>
        <v>6.6550925925925916E-2</v>
      </c>
      <c r="O221" s="8">
        <f t="shared" si="11"/>
        <v>8.6400286962559445</v>
      </c>
    </row>
    <row r="222" spans="1:15" ht="15" customHeight="1" x14ac:dyDescent="0.25">
      <c r="A222" t="s">
        <v>10</v>
      </c>
      <c r="B222" t="s">
        <v>11</v>
      </c>
      <c r="C222" s="1">
        <v>45791</v>
      </c>
      <c r="D222" s="4">
        <v>8.7200000000000006</v>
      </c>
      <c r="E222" s="4">
        <v>8.73</v>
      </c>
      <c r="F222" s="4">
        <v>8.23</v>
      </c>
      <c r="G222" s="4">
        <v>8.2899999999999991</v>
      </c>
      <c r="H222" s="4">
        <v>113723</v>
      </c>
      <c r="I222" s="4">
        <v>636.02</v>
      </c>
      <c r="J222" s="4">
        <v>76720810</v>
      </c>
      <c r="M222">
        <f t="shared" si="9"/>
        <v>20.974467592592589</v>
      </c>
      <c r="N222" s="5">
        <f t="shared" si="10"/>
        <v>6.9360675512665865E-2</v>
      </c>
      <c r="O222" s="8">
        <f t="shared" si="11"/>
        <v>8.2900584600188658</v>
      </c>
    </row>
    <row r="223" spans="1:15" ht="15" customHeight="1" x14ac:dyDescent="0.25">
      <c r="A223" t="s">
        <v>10</v>
      </c>
      <c r="B223" t="s">
        <v>11</v>
      </c>
      <c r="C223" s="1">
        <v>45792</v>
      </c>
      <c r="D223" s="4">
        <v>8</v>
      </c>
      <c r="E223" s="4">
        <v>8.58</v>
      </c>
      <c r="F223" s="4">
        <v>8</v>
      </c>
      <c r="G223" s="4">
        <v>8.4</v>
      </c>
      <c r="H223" s="4">
        <v>64006</v>
      </c>
      <c r="I223" s="4">
        <v>644.45000000000005</v>
      </c>
      <c r="J223" s="4">
        <v>76720810</v>
      </c>
      <c r="M223">
        <f t="shared" si="9"/>
        <v>21.252777777777776</v>
      </c>
      <c r="N223" s="5">
        <f t="shared" si="10"/>
        <v>6.8452380952380945E-2</v>
      </c>
      <c r="O223" s="8">
        <f t="shared" si="11"/>
        <v>8.3999373833514017</v>
      </c>
    </row>
    <row r="224" spans="1:15" ht="15" customHeight="1" x14ac:dyDescent="0.25">
      <c r="A224" t="s">
        <v>10</v>
      </c>
      <c r="B224" t="s">
        <v>11</v>
      </c>
      <c r="C224" s="1">
        <v>45793</v>
      </c>
      <c r="D224" s="4">
        <v>8.41</v>
      </c>
      <c r="E224" s="4">
        <v>8.42</v>
      </c>
      <c r="F224" s="4">
        <v>8.27</v>
      </c>
      <c r="G224" s="4">
        <v>8.35</v>
      </c>
      <c r="H224" s="4">
        <v>39852</v>
      </c>
      <c r="I224" s="4">
        <v>640.62</v>
      </c>
      <c r="J224" s="4">
        <v>76720810</v>
      </c>
      <c r="M224">
        <f t="shared" si="9"/>
        <v>21.126273148148147</v>
      </c>
      <c r="N224" s="5">
        <f t="shared" si="10"/>
        <v>6.8862275449101798E-2</v>
      </c>
      <c r="O224" s="8">
        <f t="shared" si="11"/>
        <v>8.3500161168788498</v>
      </c>
    </row>
    <row r="225" spans="1:15" ht="15" customHeight="1" x14ac:dyDescent="0.25">
      <c r="A225" t="s">
        <v>10</v>
      </c>
      <c r="B225" t="s">
        <v>11</v>
      </c>
      <c r="C225" s="1">
        <v>45796</v>
      </c>
      <c r="D225" s="4">
        <v>8.3000000000000007</v>
      </c>
      <c r="E225" s="4">
        <v>8.3000000000000007</v>
      </c>
      <c r="F225" s="4">
        <v>8.14</v>
      </c>
      <c r="G225" s="4">
        <v>8.16</v>
      </c>
      <c r="H225" s="4">
        <v>47065</v>
      </c>
      <c r="I225" s="4">
        <v>626.04</v>
      </c>
      <c r="J225" s="4">
        <v>76720810</v>
      </c>
      <c r="M225">
        <f t="shared" si="9"/>
        <v>20.645555555555553</v>
      </c>
      <c r="N225" s="5">
        <f t="shared" si="10"/>
        <v>7.0465686274509803E-2</v>
      </c>
      <c r="O225" s="8">
        <f t="shared" si="11"/>
        <v>8.1599764131791623</v>
      </c>
    </row>
    <row r="226" spans="1:15" ht="15" customHeight="1" x14ac:dyDescent="0.25">
      <c r="A226" t="s">
        <v>10</v>
      </c>
      <c r="B226" t="s">
        <v>11</v>
      </c>
      <c r="C226" s="1">
        <v>45797</v>
      </c>
      <c r="D226" s="4">
        <v>8.2349999999999994</v>
      </c>
      <c r="E226" s="4">
        <v>8.2799999999999994</v>
      </c>
      <c r="F226" s="4">
        <v>8.1</v>
      </c>
      <c r="G226" s="4">
        <v>8.18</v>
      </c>
      <c r="H226" s="4">
        <v>221916</v>
      </c>
      <c r="I226" s="4">
        <v>627.58000000000004</v>
      </c>
      <c r="J226" s="4">
        <v>76720810</v>
      </c>
      <c r="M226">
        <f t="shared" si="9"/>
        <v>20.696157407407405</v>
      </c>
      <c r="N226" s="5">
        <f t="shared" si="10"/>
        <v>7.0293398533007326E-2</v>
      </c>
      <c r="O226" s="8">
        <f t="shared" si="11"/>
        <v>8.1800491939540265</v>
      </c>
    </row>
    <row r="227" spans="1:15" ht="15" customHeight="1" x14ac:dyDescent="0.25">
      <c r="A227" t="s">
        <v>10</v>
      </c>
      <c r="B227" t="s">
        <v>11</v>
      </c>
      <c r="C227" s="1">
        <v>45798</v>
      </c>
      <c r="D227" s="4">
        <v>8.19</v>
      </c>
      <c r="E227" s="4">
        <v>8.24</v>
      </c>
      <c r="F227" s="4">
        <v>7.65</v>
      </c>
      <c r="G227" s="4">
        <v>7.71</v>
      </c>
      <c r="H227" s="4">
        <v>151139</v>
      </c>
      <c r="I227" s="4">
        <v>591.52</v>
      </c>
      <c r="J227" s="4">
        <v>76720810</v>
      </c>
      <c r="M227">
        <f t="shared" si="9"/>
        <v>19.507013888888888</v>
      </c>
      <c r="N227" s="5">
        <f t="shared" si="10"/>
        <v>7.457846952010376E-2</v>
      </c>
      <c r="O227" s="8">
        <f t="shared" si="11"/>
        <v>7.7100333012646765</v>
      </c>
    </row>
    <row r="228" spans="1:15" ht="15" customHeight="1" x14ac:dyDescent="0.25">
      <c r="A228" t="s">
        <v>10</v>
      </c>
      <c r="B228" t="s">
        <v>11</v>
      </c>
      <c r="C228" s="1">
        <v>45799</v>
      </c>
      <c r="D228" s="4">
        <v>7.74</v>
      </c>
      <c r="E228" s="4">
        <v>7.74</v>
      </c>
      <c r="F228" s="4">
        <v>7.53</v>
      </c>
      <c r="G228" s="4">
        <v>7.61</v>
      </c>
      <c r="H228" s="4">
        <v>190894</v>
      </c>
      <c r="I228" s="4">
        <v>583.85</v>
      </c>
      <c r="J228" s="4">
        <v>76720810</v>
      </c>
      <c r="M228">
        <f t="shared" si="9"/>
        <v>19.25400462962963</v>
      </c>
      <c r="N228" s="5">
        <f t="shared" si="10"/>
        <v>7.5558475689881721E-2</v>
      </c>
      <c r="O228" s="8">
        <f t="shared" si="11"/>
        <v>7.6100604255872693</v>
      </c>
    </row>
    <row r="229" spans="1:15" ht="15" customHeight="1" x14ac:dyDescent="0.25">
      <c r="A229" t="s">
        <v>10</v>
      </c>
      <c r="B229" t="s">
        <v>11</v>
      </c>
      <c r="C229" s="1">
        <v>45800</v>
      </c>
      <c r="D229" s="4">
        <v>7.66</v>
      </c>
      <c r="E229" s="4">
        <v>7.7</v>
      </c>
      <c r="F229" s="4">
        <v>7.6</v>
      </c>
      <c r="G229" s="4">
        <v>7.65</v>
      </c>
      <c r="H229" s="4">
        <v>77984</v>
      </c>
      <c r="I229" s="4">
        <v>586.91</v>
      </c>
      <c r="J229" s="4">
        <v>76720810</v>
      </c>
      <c r="M229">
        <f t="shared" si="9"/>
        <v>19.355208333333334</v>
      </c>
      <c r="N229" s="5">
        <f t="shared" si="10"/>
        <v>7.5163398692810454E-2</v>
      </c>
      <c r="O229" s="8">
        <f t="shared" si="11"/>
        <v>7.6499453016723882</v>
      </c>
    </row>
    <row r="230" spans="1:15" ht="15" customHeight="1" x14ac:dyDescent="0.25">
      <c r="A230" t="s">
        <v>10</v>
      </c>
      <c r="B230" t="s">
        <v>11</v>
      </c>
      <c r="C230" s="1">
        <v>45803</v>
      </c>
      <c r="D230" s="4">
        <v>7.6</v>
      </c>
      <c r="E230" s="4">
        <v>7.84</v>
      </c>
      <c r="F230" s="4">
        <v>7.06</v>
      </c>
      <c r="G230" s="4">
        <v>7.42</v>
      </c>
      <c r="H230" s="4">
        <v>252050</v>
      </c>
      <c r="I230" s="4">
        <v>569.27</v>
      </c>
      <c r="J230" s="4">
        <v>76720810</v>
      </c>
      <c r="M230">
        <f t="shared" si="9"/>
        <v>18.773287037037036</v>
      </c>
      <c r="N230" s="5">
        <f t="shared" si="10"/>
        <v>7.7493261455525597E-2</v>
      </c>
      <c r="O230" s="8">
        <f t="shared" si="11"/>
        <v>7.4200207218875818</v>
      </c>
    </row>
    <row r="231" spans="1:15" ht="15" customHeight="1" x14ac:dyDescent="0.25">
      <c r="A231" t="s">
        <v>10</v>
      </c>
      <c r="B231" t="s">
        <v>11</v>
      </c>
      <c r="C231" s="1">
        <v>45804</v>
      </c>
      <c r="D231" s="4">
        <v>7.38</v>
      </c>
      <c r="E231" s="4">
        <v>7.49</v>
      </c>
      <c r="F231" s="4">
        <v>7.1</v>
      </c>
      <c r="G231" s="4">
        <v>7.28</v>
      </c>
      <c r="H231" s="4">
        <v>164108</v>
      </c>
      <c r="I231" s="4">
        <v>558.53</v>
      </c>
      <c r="J231" s="4">
        <v>76720810</v>
      </c>
      <c r="M231">
        <f t="shared" si="9"/>
        <v>18.419074074074075</v>
      </c>
      <c r="N231" s="5">
        <f t="shared" si="10"/>
        <v>7.898351648351648E-2</v>
      </c>
      <c r="O231" s="8">
        <f t="shared" si="11"/>
        <v>7.2800326273927505</v>
      </c>
    </row>
    <row r="232" spans="1:15" ht="15" customHeight="1" x14ac:dyDescent="0.25">
      <c r="A232" t="s">
        <v>10</v>
      </c>
      <c r="B232" t="s">
        <v>11</v>
      </c>
      <c r="C232" s="1">
        <v>45805</v>
      </c>
      <c r="D232" s="4">
        <v>7.3</v>
      </c>
      <c r="E232" s="4">
        <v>7.5</v>
      </c>
      <c r="F232" s="4">
        <v>7.24</v>
      </c>
      <c r="G232" s="4">
        <v>7.49</v>
      </c>
      <c r="H232" s="4">
        <v>148067</v>
      </c>
      <c r="I232" s="4">
        <v>574.64</v>
      </c>
      <c r="J232" s="4">
        <v>76720810</v>
      </c>
      <c r="M232">
        <f t="shared" si="9"/>
        <v>18.950393518518517</v>
      </c>
      <c r="N232" s="5">
        <f t="shared" si="10"/>
        <v>7.6769025367156199E-2</v>
      </c>
      <c r="O232" s="8">
        <f t="shared" si="11"/>
        <v>7.490014769134997</v>
      </c>
    </row>
    <row r="233" spans="1:15" ht="15" customHeight="1" x14ac:dyDescent="0.25">
      <c r="A233" t="s">
        <v>10</v>
      </c>
      <c r="B233" t="s">
        <v>11</v>
      </c>
      <c r="C233" s="1">
        <v>45806</v>
      </c>
      <c r="D233" s="4">
        <v>7.49</v>
      </c>
      <c r="E233" s="4">
        <v>7.68</v>
      </c>
      <c r="F233" s="4">
        <v>7.25</v>
      </c>
      <c r="G233" s="4">
        <v>7.51</v>
      </c>
      <c r="H233" s="4">
        <v>80993</v>
      </c>
      <c r="I233" s="4">
        <v>576.16999999999996</v>
      </c>
      <c r="J233" s="4">
        <v>76720810</v>
      </c>
      <c r="M233">
        <f t="shared" si="9"/>
        <v>19.000995370370369</v>
      </c>
      <c r="N233" s="5">
        <f t="shared" si="10"/>
        <v>7.656458055925433E-2</v>
      </c>
      <c r="O233" s="8">
        <f t="shared" si="11"/>
        <v>7.5099572071775569</v>
      </c>
    </row>
    <row r="234" spans="1:15" ht="15" customHeight="1" x14ac:dyDescent="0.25">
      <c r="A234" t="s">
        <v>10</v>
      </c>
      <c r="B234" t="s">
        <v>11</v>
      </c>
      <c r="C234" s="1">
        <v>45807</v>
      </c>
      <c r="D234" s="4">
        <v>7.52</v>
      </c>
      <c r="E234" s="4">
        <v>7.94</v>
      </c>
      <c r="F234" s="4">
        <v>7.37</v>
      </c>
      <c r="G234" s="4">
        <v>7.77</v>
      </c>
      <c r="H234" s="4">
        <v>182620</v>
      </c>
      <c r="I234" s="4">
        <v>596.12</v>
      </c>
      <c r="J234" s="4">
        <v>76720810</v>
      </c>
      <c r="M234">
        <f t="shared" si="9"/>
        <v>19.658819444444443</v>
      </c>
      <c r="N234" s="5">
        <f t="shared" si="10"/>
        <v>7.4002574002573998E-2</v>
      </c>
      <c r="O234" s="8">
        <f t="shared" si="11"/>
        <v>7.7699909581246605</v>
      </c>
    </row>
    <row r="235" spans="1:15" ht="15" customHeight="1" x14ac:dyDescent="0.25">
      <c r="A235" t="s">
        <v>10</v>
      </c>
      <c r="B235" t="s">
        <v>11</v>
      </c>
      <c r="C235" s="1">
        <v>45810</v>
      </c>
      <c r="D235" s="4">
        <v>7.82</v>
      </c>
      <c r="E235" s="4">
        <v>7.96</v>
      </c>
      <c r="F235" s="4">
        <v>7.51</v>
      </c>
      <c r="G235" s="4">
        <v>7.58</v>
      </c>
      <c r="H235" s="4">
        <v>75872</v>
      </c>
      <c r="I235" s="4">
        <v>581.54</v>
      </c>
      <c r="J235" s="4">
        <v>76720810</v>
      </c>
      <c r="M235">
        <f t="shared" si="9"/>
        <v>19.178101851851853</v>
      </c>
      <c r="N235" s="5">
        <f t="shared" si="10"/>
        <v>7.5857519788918193E-2</v>
      </c>
      <c r="O235" s="8">
        <f t="shared" si="11"/>
        <v>7.579951254424973</v>
      </c>
    </row>
    <row r="236" spans="1:15" ht="15" customHeight="1" x14ac:dyDescent="0.25">
      <c r="A236" t="s">
        <v>10</v>
      </c>
      <c r="B236" t="s">
        <v>11</v>
      </c>
      <c r="C236" s="1">
        <v>45811</v>
      </c>
      <c r="D236" s="4">
        <v>7.58</v>
      </c>
      <c r="E236" s="4">
        <v>7.73</v>
      </c>
      <c r="F236" s="4">
        <v>7.49</v>
      </c>
      <c r="G236" s="4">
        <v>7.6</v>
      </c>
      <c r="H236" s="4">
        <v>72783</v>
      </c>
      <c r="I236" s="4">
        <v>583.08000000000004</v>
      </c>
      <c r="J236" s="4">
        <v>76720810</v>
      </c>
      <c r="M236">
        <f t="shared" si="9"/>
        <v>19.228703703703701</v>
      </c>
      <c r="N236" s="5">
        <f t="shared" si="10"/>
        <v>7.5657894736842105E-2</v>
      </c>
      <c r="O236" s="8">
        <f t="shared" si="11"/>
        <v>7.6000240351998372</v>
      </c>
    </row>
    <row r="237" spans="1:15" ht="15" customHeight="1" x14ac:dyDescent="0.25">
      <c r="A237" t="s">
        <v>10</v>
      </c>
      <c r="B237" t="s">
        <v>11</v>
      </c>
      <c r="C237" s="1">
        <v>45812</v>
      </c>
      <c r="D237" s="4">
        <v>7.81</v>
      </c>
      <c r="E237" s="4">
        <v>7.93</v>
      </c>
      <c r="F237" s="4">
        <v>7.61</v>
      </c>
      <c r="G237" s="4">
        <v>7.88</v>
      </c>
      <c r="H237" s="4">
        <v>139458</v>
      </c>
      <c r="I237" s="4">
        <v>604.55999999999995</v>
      </c>
      <c r="J237" s="4">
        <v>76720810</v>
      </c>
      <c r="M237">
        <f t="shared" si="9"/>
        <v>19.937129629629627</v>
      </c>
      <c r="N237" s="5">
        <f t="shared" si="10"/>
        <v>7.2969543147208119E-2</v>
      </c>
      <c r="O237" s="8">
        <f t="shared" si="11"/>
        <v>7.8800002241894997</v>
      </c>
    </row>
    <row r="238" spans="1:15" ht="15" customHeight="1" x14ac:dyDescent="0.25">
      <c r="A238" t="s">
        <v>10</v>
      </c>
      <c r="B238" t="s">
        <v>11</v>
      </c>
      <c r="C238" s="1">
        <v>45813</v>
      </c>
      <c r="D238" s="4">
        <v>7.88</v>
      </c>
      <c r="E238" s="4">
        <v>7.97</v>
      </c>
      <c r="F238" s="4">
        <v>7.8</v>
      </c>
      <c r="G238" s="4">
        <v>7.85</v>
      </c>
      <c r="H238" s="4">
        <v>54192</v>
      </c>
      <c r="I238" s="4">
        <v>602.26</v>
      </c>
      <c r="J238" s="4">
        <v>76720810</v>
      </c>
      <c r="M238">
        <f t="shared" si="9"/>
        <v>19.86122685185185</v>
      </c>
      <c r="N238" s="5">
        <f t="shared" si="10"/>
        <v>7.32484076433121E-2</v>
      </c>
      <c r="O238" s="8">
        <f t="shared" si="11"/>
        <v>7.8500213957595077</v>
      </c>
    </row>
    <row r="239" spans="1:15" ht="15" customHeight="1" x14ac:dyDescent="0.25">
      <c r="A239" t="s">
        <v>10</v>
      </c>
      <c r="B239" t="s">
        <v>11</v>
      </c>
      <c r="C239" s="1">
        <v>45814</v>
      </c>
      <c r="D239" s="4">
        <v>7.8</v>
      </c>
      <c r="E239" s="4">
        <v>7.98</v>
      </c>
      <c r="F239" s="4">
        <v>7.8</v>
      </c>
      <c r="G239" s="4">
        <v>7.85</v>
      </c>
      <c r="H239" s="4">
        <v>66534</v>
      </c>
      <c r="I239" s="4">
        <v>602.26</v>
      </c>
      <c r="J239" s="4">
        <v>76720810</v>
      </c>
      <c r="M239">
        <f t="shared" si="9"/>
        <v>19.86122685185185</v>
      </c>
      <c r="N239" s="5">
        <f t="shared" si="10"/>
        <v>7.32484076433121E-2</v>
      </c>
      <c r="O239" s="8">
        <f t="shared" si="11"/>
        <v>7.8500213957595077</v>
      </c>
    </row>
    <row r="240" spans="1:15" ht="15" customHeight="1" x14ac:dyDescent="0.25">
      <c r="A240" t="s">
        <v>10</v>
      </c>
      <c r="B240" t="s">
        <v>11</v>
      </c>
      <c r="C240" s="1">
        <v>45818</v>
      </c>
      <c r="D240" s="4">
        <v>7.97</v>
      </c>
      <c r="E240" s="4">
        <v>7.97</v>
      </c>
      <c r="F240" s="4">
        <v>7.72</v>
      </c>
      <c r="G240" s="4">
        <v>7.84</v>
      </c>
      <c r="H240" s="4">
        <v>241384</v>
      </c>
      <c r="I240" s="4">
        <v>601.49</v>
      </c>
      <c r="J240" s="4">
        <v>76720810</v>
      </c>
      <c r="M240">
        <f t="shared" si="9"/>
        <v>19.835925925925924</v>
      </c>
      <c r="N240" s="5">
        <f t="shared" si="10"/>
        <v>7.3341836734693869E-2</v>
      </c>
      <c r="O240" s="8">
        <f t="shared" si="11"/>
        <v>7.8399850053720757</v>
      </c>
    </row>
    <row r="241" spans="1:15" ht="15" customHeight="1" x14ac:dyDescent="0.25">
      <c r="A241" t="s">
        <v>10</v>
      </c>
      <c r="B241" t="s">
        <v>11</v>
      </c>
      <c r="C241" s="1">
        <v>45819</v>
      </c>
      <c r="D241" s="4">
        <v>7.84</v>
      </c>
      <c r="E241" s="4">
        <v>7.86</v>
      </c>
      <c r="F241" s="4">
        <v>7.7350000000000003</v>
      </c>
      <c r="G241" s="4">
        <v>7.76</v>
      </c>
      <c r="H241" s="4">
        <v>24608</v>
      </c>
      <c r="I241" s="4">
        <v>595.35</v>
      </c>
      <c r="J241" s="4">
        <v>76720810</v>
      </c>
      <c r="M241">
        <f t="shared" si="9"/>
        <v>19.633518518518517</v>
      </c>
      <c r="N241" s="5">
        <f t="shared" si="10"/>
        <v>7.4097938144329897E-2</v>
      </c>
      <c r="O241" s="8">
        <f t="shared" si="11"/>
        <v>7.7599545677372284</v>
      </c>
    </row>
    <row r="242" spans="1:15" ht="15" customHeight="1" x14ac:dyDescent="0.25">
      <c r="A242" t="s">
        <v>10</v>
      </c>
      <c r="B242" t="s">
        <v>11</v>
      </c>
      <c r="C242" s="1">
        <v>45820</v>
      </c>
      <c r="D242" s="4">
        <v>7.8</v>
      </c>
      <c r="E242" s="4">
        <v>7.8</v>
      </c>
      <c r="F242" s="4">
        <v>7.58</v>
      </c>
      <c r="G242" s="4">
        <v>7.58</v>
      </c>
      <c r="H242" s="4">
        <v>19499</v>
      </c>
      <c r="I242" s="4">
        <v>581.54</v>
      </c>
      <c r="J242" s="4">
        <v>76720810</v>
      </c>
      <c r="M242">
        <f t="shared" si="9"/>
        <v>19.178101851851853</v>
      </c>
      <c r="N242" s="5">
        <f t="shared" si="10"/>
        <v>7.5857519788918193E-2</v>
      </c>
      <c r="O242" s="8">
        <f t="shared" si="11"/>
        <v>7.579951254424973</v>
      </c>
    </row>
    <row r="243" spans="1:15" ht="15" customHeight="1" x14ac:dyDescent="0.25">
      <c r="A243" t="s">
        <v>10</v>
      </c>
      <c r="B243" t="s">
        <v>11</v>
      </c>
      <c r="C243" s="1">
        <v>45821</v>
      </c>
      <c r="D243" s="4">
        <v>7.59</v>
      </c>
      <c r="E243" s="4">
        <v>7.59</v>
      </c>
      <c r="F243" s="4">
        <v>7.16</v>
      </c>
      <c r="G243" s="4">
        <v>7.4</v>
      </c>
      <c r="H243" s="4">
        <v>248110</v>
      </c>
      <c r="I243" s="4">
        <v>567.73</v>
      </c>
      <c r="J243" s="4">
        <v>76720810</v>
      </c>
      <c r="M243">
        <f t="shared" si="9"/>
        <v>18.722685185185185</v>
      </c>
      <c r="N243" s="5">
        <f t="shared" si="10"/>
        <v>7.7702702702702686E-2</v>
      </c>
      <c r="O243" s="8">
        <f t="shared" si="11"/>
        <v>7.3999479411127176</v>
      </c>
    </row>
    <row r="244" spans="1:15" ht="15" customHeight="1" x14ac:dyDescent="0.25">
      <c r="A244" t="s">
        <v>10</v>
      </c>
      <c r="B244" t="s">
        <v>11</v>
      </c>
      <c r="C244" s="1">
        <v>45824</v>
      </c>
      <c r="D244" s="4">
        <v>7.4</v>
      </c>
      <c r="E244" s="4">
        <v>7.54</v>
      </c>
      <c r="F244" s="4">
        <v>7.32</v>
      </c>
      <c r="G244" s="4">
        <v>7.46</v>
      </c>
      <c r="H244" s="4">
        <v>86586</v>
      </c>
      <c r="I244" s="4">
        <v>572.34</v>
      </c>
      <c r="J244" s="4">
        <v>76720810</v>
      </c>
      <c r="M244">
        <f t="shared" si="9"/>
        <v>18.87449074074074</v>
      </c>
      <c r="N244" s="5">
        <f t="shared" si="10"/>
        <v>7.7077747989276135E-2</v>
      </c>
      <c r="O244" s="8">
        <f t="shared" si="11"/>
        <v>7.4600359407050059</v>
      </c>
    </row>
    <row r="245" spans="1:15" ht="15" customHeight="1" x14ac:dyDescent="0.25">
      <c r="A245" t="s">
        <v>10</v>
      </c>
      <c r="B245" t="s">
        <v>11</v>
      </c>
      <c r="C245" s="1">
        <v>45825</v>
      </c>
      <c r="D245" s="4">
        <v>7.47</v>
      </c>
      <c r="E245" s="4">
        <v>7.78</v>
      </c>
      <c r="F245" s="4">
        <v>7.46</v>
      </c>
      <c r="G245" s="4">
        <v>7.78</v>
      </c>
      <c r="H245" s="4">
        <v>91706</v>
      </c>
      <c r="I245" s="4">
        <v>596.89</v>
      </c>
      <c r="J245" s="4">
        <v>76720810</v>
      </c>
      <c r="M245">
        <f t="shared" si="9"/>
        <v>19.684120370370369</v>
      </c>
      <c r="N245" s="5">
        <f t="shared" si="10"/>
        <v>7.3907455012853465E-2</v>
      </c>
      <c r="O245" s="8">
        <f t="shared" si="11"/>
        <v>7.7800273485120917</v>
      </c>
    </row>
    <row r="246" spans="1:15" ht="15" customHeight="1" x14ac:dyDescent="0.25">
      <c r="A246" t="s">
        <v>10</v>
      </c>
      <c r="B246" t="s">
        <v>11</v>
      </c>
      <c r="C246" s="1">
        <v>45826</v>
      </c>
      <c r="D246" s="4">
        <v>7.8</v>
      </c>
      <c r="E246" s="4">
        <v>7.81</v>
      </c>
      <c r="F246" s="4">
        <v>7.4</v>
      </c>
      <c r="G246" s="4">
        <v>7.59</v>
      </c>
      <c r="H246" s="4">
        <v>229202</v>
      </c>
      <c r="I246" s="4">
        <v>582.30999999999995</v>
      </c>
      <c r="J246" s="4">
        <v>76720810</v>
      </c>
      <c r="M246">
        <f t="shared" si="9"/>
        <v>19.203402777777775</v>
      </c>
      <c r="N246" s="5">
        <f t="shared" si="10"/>
        <v>7.575757575757576E-2</v>
      </c>
      <c r="O246" s="8">
        <f t="shared" si="11"/>
        <v>7.5899876448124051</v>
      </c>
    </row>
    <row r="247" spans="1:15" ht="15" customHeight="1" x14ac:dyDescent="0.25">
      <c r="A247" t="s">
        <v>10</v>
      </c>
      <c r="B247" t="s">
        <v>11</v>
      </c>
      <c r="C247" s="1">
        <v>45827</v>
      </c>
      <c r="D247" s="4">
        <v>7.6</v>
      </c>
      <c r="E247" s="4">
        <v>7.6</v>
      </c>
      <c r="F247" s="4">
        <v>7.36</v>
      </c>
      <c r="G247" s="4">
        <v>7.43</v>
      </c>
      <c r="H247" s="4">
        <v>115249</v>
      </c>
      <c r="I247" s="4">
        <v>570.04</v>
      </c>
      <c r="J247" s="4">
        <v>76720810</v>
      </c>
      <c r="M247">
        <f t="shared" si="9"/>
        <v>18.798587962962962</v>
      </c>
      <c r="N247" s="5">
        <f t="shared" si="10"/>
        <v>7.7388963660834448E-2</v>
      </c>
      <c r="O247" s="8">
        <f t="shared" si="11"/>
        <v>7.4300571122750139</v>
      </c>
    </row>
    <row r="248" spans="1:15" ht="15" customHeight="1" x14ac:dyDescent="0.25">
      <c r="A248" t="s">
        <v>10</v>
      </c>
      <c r="B248" t="s">
        <v>11</v>
      </c>
      <c r="C248" s="1">
        <v>45828</v>
      </c>
      <c r="D248" s="4">
        <v>7.43</v>
      </c>
      <c r="E248" s="4">
        <v>7.43</v>
      </c>
      <c r="F248" s="4">
        <v>7.3</v>
      </c>
      <c r="G248" s="4">
        <v>7.38</v>
      </c>
      <c r="H248" s="4">
        <v>76733</v>
      </c>
      <c r="I248" s="4">
        <v>566.20000000000005</v>
      </c>
      <c r="J248" s="4">
        <v>76720810</v>
      </c>
      <c r="M248">
        <f t="shared" si="9"/>
        <v>18.672083333333333</v>
      </c>
      <c r="N248" s="5">
        <f t="shared" si="10"/>
        <v>7.7913279132791322E-2</v>
      </c>
      <c r="O248" s="8">
        <f t="shared" si="11"/>
        <v>7.3800055030701577</v>
      </c>
    </row>
    <row r="249" spans="1:15" ht="15" customHeight="1" x14ac:dyDescent="0.25">
      <c r="A249" t="s">
        <v>10</v>
      </c>
      <c r="B249" t="s">
        <v>11</v>
      </c>
      <c r="C249" s="1">
        <v>45831</v>
      </c>
      <c r="D249" s="4">
        <v>7.36</v>
      </c>
      <c r="E249" s="4">
        <v>7.42</v>
      </c>
      <c r="F249" s="4">
        <v>7.1</v>
      </c>
      <c r="G249" s="4">
        <v>7.36</v>
      </c>
      <c r="H249" s="4">
        <v>165078</v>
      </c>
      <c r="I249" s="4">
        <v>564.66999999999996</v>
      </c>
      <c r="J249" s="4">
        <v>76720810</v>
      </c>
      <c r="M249">
        <f t="shared" si="9"/>
        <v>18.621481481481482</v>
      </c>
      <c r="N249" s="5">
        <f t="shared" si="10"/>
        <v>7.8124999999999986E-2</v>
      </c>
      <c r="O249" s="8">
        <f t="shared" si="11"/>
        <v>7.3600630650275978</v>
      </c>
    </row>
    <row r="250" spans="1:15" ht="15" customHeight="1" x14ac:dyDescent="0.25">
      <c r="A250" t="s">
        <v>10</v>
      </c>
      <c r="B250" t="s">
        <v>11</v>
      </c>
      <c r="C250" s="1">
        <v>45832</v>
      </c>
      <c r="D250" s="4">
        <v>7.3</v>
      </c>
      <c r="E250" s="4">
        <v>7.45</v>
      </c>
      <c r="F250" s="4">
        <v>7.21</v>
      </c>
      <c r="G250" s="4">
        <v>7.27</v>
      </c>
      <c r="H250" s="4">
        <v>102786</v>
      </c>
      <c r="I250" s="4">
        <v>557.76</v>
      </c>
      <c r="J250" s="4">
        <v>76720810</v>
      </c>
      <c r="M250">
        <f t="shared" si="9"/>
        <v>18.393773148148146</v>
      </c>
      <c r="N250" s="5">
        <f t="shared" si="10"/>
        <v>7.9092159559834938E-2</v>
      </c>
      <c r="O250" s="8">
        <f t="shared" si="11"/>
        <v>7.2699962370053184</v>
      </c>
    </row>
    <row r="251" spans="1:15" ht="15" customHeight="1" x14ac:dyDescent="0.25">
      <c r="A251" t="s">
        <v>10</v>
      </c>
      <c r="B251" t="s">
        <v>11</v>
      </c>
      <c r="C251" s="1">
        <v>45833</v>
      </c>
      <c r="D251" s="4">
        <v>7.28</v>
      </c>
      <c r="E251" s="4">
        <v>7.44</v>
      </c>
      <c r="F251" s="4">
        <v>7.23</v>
      </c>
      <c r="G251" s="4">
        <v>7.35</v>
      </c>
      <c r="H251" s="4">
        <v>137892</v>
      </c>
      <c r="I251" s="4">
        <v>563.9</v>
      </c>
      <c r="J251" s="4">
        <v>76720810</v>
      </c>
      <c r="M251">
        <f t="shared" si="9"/>
        <v>18.596180555555552</v>
      </c>
      <c r="N251" s="5">
        <f t="shared" si="10"/>
        <v>7.8231292517006806E-2</v>
      </c>
      <c r="O251" s="8">
        <f t="shared" si="11"/>
        <v>7.3500266746401657</v>
      </c>
    </row>
    <row r="252" spans="1:15" ht="15" customHeight="1" x14ac:dyDescent="0.25">
      <c r="A252" t="s">
        <v>10</v>
      </c>
      <c r="B252" t="s">
        <v>11</v>
      </c>
      <c r="C252" s="1">
        <v>45834</v>
      </c>
      <c r="D252" s="4">
        <v>7.3</v>
      </c>
      <c r="E252" s="4">
        <v>7.51</v>
      </c>
      <c r="F252" s="4">
        <v>7.27</v>
      </c>
      <c r="G252" s="4">
        <v>7.44</v>
      </c>
      <c r="H252" s="4">
        <v>249001</v>
      </c>
      <c r="I252" s="4">
        <v>570.79999999999995</v>
      </c>
      <c r="J252" s="4">
        <v>76720810</v>
      </c>
      <c r="M252">
        <f t="shared" si="9"/>
        <v>18.823888888888888</v>
      </c>
      <c r="N252" s="5">
        <f t="shared" si="10"/>
        <v>7.7284946236559127E-2</v>
      </c>
      <c r="O252" s="8">
        <f t="shared" si="11"/>
        <v>7.4399631599301417</v>
      </c>
    </row>
    <row r="253" spans="1:15" ht="15" customHeight="1" x14ac:dyDescent="0.25">
      <c r="A253" t="s">
        <v>10</v>
      </c>
      <c r="B253" t="s">
        <v>11</v>
      </c>
      <c r="C253" s="1">
        <v>45835</v>
      </c>
      <c r="D253" s="4">
        <v>7.36</v>
      </c>
      <c r="E253" s="4">
        <v>7.65</v>
      </c>
      <c r="F253" s="4">
        <v>7.33</v>
      </c>
      <c r="G253" s="4">
        <v>7.61</v>
      </c>
      <c r="H253" s="4">
        <v>177780</v>
      </c>
      <c r="I253" s="4">
        <v>583.85</v>
      </c>
      <c r="J253" s="4">
        <v>76720810</v>
      </c>
      <c r="M253">
        <f t="shared" si="9"/>
        <v>19.25400462962963</v>
      </c>
      <c r="N253" s="5">
        <f t="shared" si="10"/>
        <v>7.5558475689881721E-2</v>
      </c>
      <c r="O253" s="8">
        <f t="shared" si="11"/>
        <v>7.6100604255872693</v>
      </c>
    </row>
    <row r="254" spans="1:15" ht="15" customHeight="1" x14ac:dyDescent="0.25">
      <c r="A254" t="s">
        <v>10</v>
      </c>
      <c r="B254" t="s">
        <v>11</v>
      </c>
      <c r="C254" s="1">
        <v>45838</v>
      </c>
      <c r="D254" s="4">
        <v>7.61</v>
      </c>
      <c r="E254" s="4">
        <v>7.8</v>
      </c>
      <c r="F254" s="4">
        <v>7.51</v>
      </c>
      <c r="G254" s="4">
        <v>7.78</v>
      </c>
      <c r="H254" s="4">
        <v>69540</v>
      </c>
      <c r="I254" s="4">
        <v>596.89</v>
      </c>
      <c r="J254" s="4">
        <v>76720810</v>
      </c>
      <c r="M254">
        <f t="shared" si="9"/>
        <v>19.684120370370369</v>
      </c>
      <c r="N254" s="5">
        <f t="shared" si="10"/>
        <v>7.3907455012853465E-2</v>
      </c>
      <c r="O254" s="8">
        <f t="shared" si="11"/>
        <v>7.7800273485120917</v>
      </c>
    </row>
  </sheetData>
  <sortState xmlns:xlrd2="http://schemas.microsoft.com/office/spreadsheetml/2017/richdata2" ref="A2:J254">
    <sortCondition ref="C2:C254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4"/>
  <sheetViews>
    <sheetView topLeftCell="H1" zoomScale="85" zoomScaleNormal="85" workbookViewId="0">
      <selection activeCell="L34" sqref="L34"/>
    </sheetView>
  </sheetViews>
  <sheetFormatPr defaultRowHeight="13.2" x14ac:dyDescent="0.25"/>
  <cols>
    <col min="1" max="1" width="18.5546875" style="1" customWidth="1"/>
    <col min="2" max="6" width="18.5546875" style="2" customWidth="1"/>
  </cols>
  <sheetData>
    <row r="1" spans="1:6" ht="14.4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x14ac:dyDescent="0.25">
      <c r="A2" s="1">
        <v>45474</v>
      </c>
      <c r="B2" s="4">
        <v>4.95</v>
      </c>
      <c r="C2" s="4">
        <v>5.0199999999999996</v>
      </c>
      <c r="D2" s="4">
        <v>4.8499999999999996</v>
      </c>
      <c r="E2" s="4">
        <v>4.95</v>
      </c>
      <c r="F2" s="4">
        <v>43745</v>
      </c>
    </row>
    <row r="3" spans="1:6" x14ac:dyDescent="0.25">
      <c r="A3" s="1">
        <v>45475</v>
      </c>
      <c r="B3" s="4">
        <v>4.9000000000000004</v>
      </c>
      <c r="C3" s="4">
        <v>4.9800000000000004</v>
      </c>
      <c r="D3" s="4">
        <v>4.88</v>
      </c>
      <c r="E3" s="4">
        <v>4.96</v>
      </c>
      <c r="F3" s="4">
        <v>20190</v>
      </c>
    </row>
    <row r="4" spans="1:6" x14ac:dyDescent="0.25">
      <c r="A4" s="1">
        <v>45476</v>
      </c>
      <c r="B4" s="4">
        <v>4.95</v>
      </c>
      <c r="C4" s="4">
        <v>4.9800000000000004</v>
      </c>
      <c r="D4" s="4">
        <v>4.8099999999999996</v>
      </c>
      <c r="E4" s="4">
        <v>4.8099999999999996</v>
      </c>
      <c r="F4" s="4">
        <v>85301</v>
      </c>
    </row>
    <row r="5" spans="1:6" x14ac:dyDescent="0.25">
      <c r="A5" s="1">
        <v>45477</v>
      </c>
      <c r="B5" s="4">
        <v>4.84</v>
      </c>
      <c r="C5" s="4">
        <v>4.9800000000000004</v>
      </c>
      <c r="D5" s="4">
        <v>4.83</v>
      </c>
      <c r="E5" s="4">
        <v>4.84</v>
      </c>
      <c r="F5" s="4">
        <v>35134</v>
      </c>
    </row>
    <row r="6" spans="1:6" x14ac:dyDescent="0.25">
      <c r="A6" s="1">
        <v>45478</v>
      </c>
      <c r="B6" s="4">
        <v>4.8099999999999996</v>
      </c>
      <c r="C6" s="4">
        <v>4.8899999999999997</v>
      </c>
      <c r="D6" s="4">
        <v>4.8099999999999996</v>
      </c>
      <c r="E6" s="4">
        <v>4.82</v>
      </c>
      <c r="F6" s="4">
        <v>11781</v>
      </c>
    </row>
    <row r="7" spans="1:6" x14ac:dyDescent="0.25">
      <c r="A7" s="1">
        <v>45481</v>
      </c>
      <c r="B7" s="4">
        <v>4.82</v>
      </c>
      <c r="C7" s="4">
        <v>4.99</v>
      </c>
      <c r="D7" s="4">
        <v>4.79</v>
      </c>
      <c r="E7" s="4">
        <v>4.8099999999999996</v>
      </c>
      <c r="F7" s="4">
        <v>42865</v>
      </c>
    </row>
    <row r="8" spans="1:6" x14ac:dyDescent="0.25">
      <c r="A8" s="1">
        <v>45482</v>
      </c>
      <c r="B8" s="4">
        <v>4.9400000000000004</v>
      </c>
      <c r="C8" s="4">
        <v>4.9400000000000004</v>
      </c>
      <c r="D8" s="4">
        <v>4.84</v>
      </c>
      <c r="E8" s="4">
        <v>4.91</v>
      </c>
      <c r="F8" s="4">
        <v>15162</v>
      </c>
    </row>
    <row r="9" spans="1:6" x14ac:dyDescent="0.25">
      <c r="A9" s="1">
        <v>45483</v>
      </c>
      <c r="B9" s="4">
        <v>4.9000000000000004</v>
      </c>
      <c r="C9" s="4">
        <v>4.92</v>
      </c>
      <c r="D9" s="4">
        <v>4.8099999999999996</v>
      </c>
      <c r="E9" s="4">
        <v>4.91</v>
      </c>
      <c r="F9" s="4">
        <v>36995</v>
      </c>
    </row>
    <row r="10" spans="1:6" x14ac:dyDescent="0.25">
      <c r="A10" s="1">
        <v>45484</v>
      </c>
      <c r="B10" s="4">
        <v>4.92</v>
      </c>
      <c r="C10" s="4">
        <v>5.01</v>
      </c>
      <c r="D10" s="4">
        <v>4.92</v>
      </c>
      <c r="E10" s="4">
        <v>5</v>
      </c>
      <c r="F10" s="4">
        <v>41394</v>
      </c>
    </row>
    <row r="11" spans="1:6" x14ac:dyDescent="0.25">
      <c r="A11" s="1">
        <v>45485</v>
      </c>
      <c r="B11" s="4">
        <v>4.99</v>
      </c>
      <c r="C11" s="4">
        <v>5.08</v>
      </c>
      <c r="D11" s="4">
        <v>4.99</v>
      </c>
      <c r="E11" s="4">
        <v>5.08</v>
      </c>
      <c r="F11" s="4">
        <v>57869</v>
      </c>
    </row>
    <row r="12" spans="1:6" x14ac:dyDescent="0.25">
      <c r="A12" s="1">
        <v>45488</v>
      </c>
      <c r="B12" s="4">
        <v>5.05</v>
      </c>
      <c r="C12" s="4">
        <v>5.05</v>
      </c>
      <c r="D12" s="4">
        <v>4.91</v>
      </c>
      <c r="E12" s="4">
        <v>4.95</v>
      </c>
      <c r="F12" s="4">
        <v>47698</v>
      </c>
    </row>
    <row r="13" spans="1:6" x14ac:dyDescent="0.25">
      <c r="A13" s="1">
        <v>45489</v>
      </c>
      <c r="B13" s="4">
        <v>5</v>
      </c>
      <c r="C13" s="4">
        <v>5.35</v>
      </c>
      <c r="D13" s="4">
        <v>5</v>
      </c>
      <c r="E13" s="4">
        <v>5.19</v>
      </c>
      <c r="F13" s="4">
        <v>138774</v>
      </c>
    </row>
    <row r="14" spans="1:6" x14ac:dyDescent="0.25">
      <c r="A14" s="1">
        <v>45490</v>
      </c>
      <c r="B14" s="4">
        <v>5.25</v>
      </c>
      <c r="C14" s="4">
        <v>5.39</v>
      </c>
      <c r="D14" s="4">
        <v>5.22</v>
      </c>
      <c r="E14" s="4">
        <v>5.38</v>
      </c>
      <c r="F14" s="4">
        <v>40205</v>
      </c>
    </row>
    <row r="15" spans="1:6" x14ac:dyDescent="0.25">
      <c r="A15" s="1">
        <v>45491</v>
      </c>
      <c r="B15" s="4">
        <v>5.36</v>
      </c>
      <c r="C15" s="4">
        <v>5.46</v>
      </c>
      <c r="D15" s="4">
        <v>5.23</v>
      </c>
      <c r="E15" s="4">
        <v>5.46</v>
      </c>
      <c r="F15" s="4">
        <v>173281</v>
      </c>
    </row>
    <row r="16" spans="1:6" x14ac:dyDescent="0.25">
      <c r="A16" s="1">
        <v>45492</v>
      </c>
      <c r="B16" s="4">
        <v>5.55</v>
      </c>
      <c r="C16" s="4">
        <v>5.89</v>
      </c>
      <c r="D16" s="4">
        <v>5.55</v>
      </c>
      <c r="E16" s="4">
        <v>5.75</v>
      </c>
      <c r="F16" s="4">
        <v>394313</v>
      </c>
    </row>
    <row r="17" spans="1:6" x14ac:dyDescent="0.25">
      <c r="A17" s="1">
        <v>45495</v>
      </c>
      <c r="B17" s="4">
        <v>5.79</v>
      </c>
      <c r="C17" s="4">
        <v>5.89</v>
      </c>
      <c r="D17" s="4">
        <v>5.7</v>
      </c>
      <c r="E17" s="4">
        <v>5.77</v>
      </c>
      <c r="F17" s="4">
        <v>89619</v>
      </c>
    </row>
    <row r="18" spans="1:6" x14ac:dyDescent="0.25">
      <c r="A18" s="1">
        <v>45496</v>
      </c>
      <c r="B18" s="4">
        <v>5.85</v>
      </c>
      <c r="C18" s="4">
        <v>5.99</v>
      </c>
      <c r="D18" s="4">
        <v>5.85</v>
      </c>
      <c r="E18" s="4">
        <v>5.88</v>
      </c>
      <c r="F18" s="4">
        <v>103668</v>
      </c>
    </row>
    <row r="19" spans="1:6" x14ac:dyDescent="0.25">
      <c r="A19" s="1">
        <v>45497</v>
      </c>
      <c r="B19" s="4">
        <v>5.92</v>
      </c>
      <c r="C19" s="4">
        <v>5.95</v>
      </c>
      <c r="D19" s="4">
        <v>5.86</v>
      </c>
      <c r="E19" s="4">
        <v>5.9</v>
      </c>
      <c r="F19" s="4">
        <v>66269</v>
      </c>
    </row>
    <row r="20" spans="1:6" x14ac:dyDescent="0.25">
      <c r="A20" s="1">
        <v>45498</v>
      </c>
      <c r="B20" s="4">
        <v>5.85</v>
      </c>
      <c r="C20" s="4">
        <v>5.85</v>
      </c>
      <c r="D20" s="4">
        <v>5.74</v>
      </c>
      <c r="E20" s="4">
        <v>5.75</v>
      </c>
      <c r="F20" s="4">
        <v>64506</v>
      </c>
    </row>
    <row r="21" spans="1:6" x14ac:dyDescent="0.25">
      <c r="A21" s="1">
        <v>45499</v>
      </c>
      <c r="B21" s="4">
        <v>5.72</v>
      </c>
      <c r="C21" s="4">
        <v>5.79</v>
      </c>
      <c r="D21" s="4">
        <v>5.65</v>
      </c>
      <c r="E21" s="4">
        <v>5.65</v>
      </c>
      <c r="F21" s="4">
        <v>44510</v>
      </c>
    </row>
    <row r="22" spans="1:6" x14ac:dyDescent="0.25">
      <c r="A22" s="1">
        <v>45502</v>
      </c>
      <c r="B22" s="4">
        <v>5.79</v>
      </c>
      <c r="C22" s="4">
        <v>5.82</v>
      </c>
      <c r="D22" s="4">
        <v>5.75</v>
      </c>
      <c r="E22" s="4">
        <v>5.8</v>
      </c>
      <c r="F22" s="4">
        <v>55839</v>
      </c>
    </row>
    <row r="23" spans="1:6" x14ac:dyDescent="0.25">
      <c r="A23" s="1">
        <v>45503</v>
      </c>
      <c r="B23" s="4">
        <v>5.8</v>
      </c>
      <c r="C23" s="4">
        <v>5.85</v>
      </c>
      <c r="D23" s="4">
        <v>5.71</v>
      </c>
      <c r="E23" s="4">
        <v>5.75</v>
      </c>
      <c r="F23" s="4">
        <v>52504</v>
      </c>
    </row>
    <row r="24" spans="1:6" x14ac:dyDescent="0.25">
      <c r="A24" s="1">
        <v>45504</v>
      </c>
      <c r="B24" s="4">
        <v>5.82</v>
      </c>
      <c r="C24" s="4">
        <v>6.02</v>
      </c>
      <c r="D24" s="4">
        <v>5.77</v>
      </c>
      <c r="E24" s="4">
        <v>5.82</v>
      </c>
      <c r="F24" s="4">
        <v>85728</v>
      </c>
    </row>
    <row r="25" spans="1:6" x14ac:dyDescent="0.25">
      <c r="A25" s="1">
        <v>45505</v>
      </c>
      <c r="B25" s="4">
        <v>6</v>
      </c>
      <c r="C25" s="4">
        <v>6.13</v>
      </c>
      <c r="D25" s="4">
        <v>5.98</v>
      </c>
      <c r="E25" s="4">
        <v>6.03</v>
      </c>
      <c r="F25" s="4">
        <v>50864</v>
      </c>
    </row>
    <row r="26" spans="1:6" x14ac:dyDescent="0.25">
      <c r="A26" s="1">
        <v>45506</v>
      </c>
      <c r="B26" s="4">
        <v>5.98</v>
      </c>
      <c r="C26" s="4">
        <v>6</v>
      </c>
      <c r="D26" s="4">
        <v>5.82</v>
      </c>
      <c r="E26" s="4">
        <v>5.99</v>
      </c>
      <c r="F26" s="4">
        <v>121151</v>
      </c>
    </row>
    <row r="27" spans="1:6" x14ac:dyDescent="0.25">
      <c r="A27" s="1">
        <v>45509</v>
      </c>
      <c r="B27" s="4">
        <v>5.9</v>
      </c>
      <c r="C27" s="4">
        <v>5.9</v>
      </c>
      <c r="D27" s="4">
        <v>5.65</v>
      </c>
      <c r="E27" s="4">
        <v>5.65</v>
      </c>
      <c r="F27" s="4">
        <v>145384</v>
      </c>
    </row>
    <row r="28" spans="1:6" x14ac:dyDescent="0.25">
      <c r="A28" s="1">
        <v>45510</v>
      </c>
      <c r="B28" s="4">
        <v>5.65</v>
      </c>
      <c r="C28" s="4">
        <v>5.93</v>
      </c>
      <c r="D28" s="4">
        <v>5.65</v>
      </c>
      <c r="E28" s="4">
        <v>5.85</v>
      </c>
      <c r="F28" s="4">
        <v>37979</v>
      </c>
    </row>
    <row r="29" spans="1:6" x14ac:dyDescent="0.25">
      <c r="A29" s="1">
        <v>45511</v>
      </c>
      <c r="B29" s="4">
        <v>5.84</v>
      </c>
      <c r="C29" s="4">
        <v>5.98</v>
      </c>
      <c r="D29" s="4">
        <v>5.84</v>
      </c>
      <c r="E29" s="4">
        <v>5.94</v>
      </c>
      <c r="F29" s="4">
        <v>66225</v>
      </c>
    </row>
    <row r="30" spans="1:6" x14ac:dyDescent="0.25">
      <c r="A30" s="1">
        <v>45512</v>
      </c>
      <c r="B30" s="4">
        <v>5.93</v>
      </c>
      <c r="C30" s="4">
        <v>5.93</v>
      </c>
      <c r="D30" s="4">
        <v>5.82</v>
      </c>
      <c r="E30" s="4">
        <v>5.82</v>
      </c>
      <c r="F30" s="4">
        <v>33109</v>
      </c>
    </row>
    <row r="31" spans="1:6" x14ac:dyDescent="0.25">
      <c r="A31" s="1">
        <v>45513</v>
      </c>
      <c r="B31" s="4">
        <v>5.82</v>
      </c>
      <c r="C31" s="4">
        <v>5.91</v>
      </c>
      <c r="D31" s="4">
        <v>5.82</v>
      </c>
      <c r="E31" s="4">
        <v>5.89</v>
      </c>
      <c r="F31" s="4">
        <v>71680</v>
      </c>
    </row>
    <row r="32" spans="1:6" x14ac:dyDescent="0.25">
      <c r="A32" s="1">
        <v>45516</v>
      </c>
      <c r="B32" s="4">
        <v>5.85</v>
      </c>
      <c r="C32" s="4">
        <v>6.08</v>
      </c>
      <c r="D32" s="4">
        <v>5.85</v>
      </c>
      <c r="E32" s="4">
        <v>6.01</v>
      </c>
      <c r="F32" s="4">
        <v>110555</v>
      </c>
    </row>
    <row r="33" spans="1:6" x14ac:dyDescent="0.25">
      <c r="A33" s="1">
        <v>45517</v>
      </c>
      <c r="B33" s="4">
        <v>6.05</v>
      </c>
      <c r="C33" s="4">
        <v>6.26</v>
      </c>
      <c r="D33" s="4">
        <v>6.05</v>
      </c>
      <c r="E33" s="4">
        <v>6.15</v>
      </c>
      <c r="F33" s="4">
        <v>61893</v>
      </c>
    </row>
    <row r="34" spans="1:6" x14ac:dyDescent="0.25">
      <c r="A34" s="1">
        <v>45518</v>
      </c>
      <c r="B34" s="4">
        <v>6.18</v>
      </c>
      <c r="C34" s="4">
        <v>6.22</v>
      </c>
      <c r="D34" s="4">
        <v>6.04</v>
      </c>
      <c r="E34" s="4">
        <v>6.09</v>
      </c>
      <c r="F34" s="4">
        <v>90945</v>
      </c>
    </row>
    <row r="35" spans="1:6" x14ac:dyDescent="0.25">
      <c r="A35" s="1">
        <v>45519</v>
      </c>
      <c r="B35" s="4">
        <v>6.13</v>
      </c>
      <c r="C35" s="4">
        <v>6.13</v>
      </c>
      <c r="D35" s="4">
        <v>6.05</v>
      </c>
      <c r="E35" s="4">
        <v>6.1</v>
      </c>
      <c r="F35" s="4">
        <v>64892</v>
      </c>
    </row>
    <row r="36" spans="1:6" x14ac:dyDescent="0.25">
      <c r="A36" s="1">
        <v>45520</v>
      </c>
      <c r="B36" s="4">
        <v>6.09</v>
      </c>
      <c r="C36" s="4">
        <v>6.23</v>
      </c>
      <c r="D36" s="4">
        <v>6.04</v>
      </c>
      <c r="E36" s="4">
        <v>6.1</v>
      </c>
      <c r="F36" s="4">
        <v>90822</v>
      </c>
    </row>
    <row r="37" spans="1:6" x14ac:dyDescent="0.25">
      <c r="A37" s="1">
        <v>45523</v>
      </c>
      <c r="B37" s="4">
        <v>6.21</v>
      </c>
      <c r="C37" s="4">
        <v>6.35</v>
      </c>
      <c r="D37" s="4">
        <v>6.07</v>
      </c>
      <c r="E37" s="4">
        <v>6.07</v>
      </c>
      <c r="F37" s="4">
        <v>164532</v>
      </c>
    </row>
    <row r="38" spans="1:6" x14ac:dyDescent="0.25">
      <c r="A38" s="1">
        <v>45524</v>
      </c>
      <c r="B38" s="4">
        <v>6.08</v>
      </c>
      <c r="C38" s="4">
        <v>6.48</v>
      </c>
      <c r="D38" s="4">
        <v>6.08</v>
      </c>
      <c r="E38" s="4">
        <v>6.42</v>
      </c>
      <c r="F38" s="4">
        <v>47907</v>
      </c>
    </row>
    <row r="39" spans="1:6" x14ac:dyDescent="0.25">
      <c r="A39" s="1">
        <v>45525</v>
      </c>
      <c r="B39" s="4">
        <v>6.4</v>
      </c>
      <c r="C39" s="4">
        <v>6.4</v>
      </c>
      <c r="D39" s="4">
        <v>6.3049999999999997</v>
      </c>
      <c r="E39" s="4">
        <v>6.34</v>
      </c>
      <c r="F39" s="4">
        <v>55763</v>
      </c>
    </row>
    <row r="40" spans="1:6" x14ac:dyDescent="0.25">
      <c r="A40" s="1">
        <v>45526</v>
      </c>
      <c r="B40" s="4">
        <v>6.71</v>
      </c>
      <c r="C40" s="4">
        <v>7.99</v>
      </c>
      <c r="D40" s="4">
        <v>6.71</v>
      </c>
      <c r="E40" s="4">
        <v>7.05</v>
      </c>
      <c r="F40" s="4">
        <v>327244</v>
      </c>
    </row>
    <row r="41" spans="1:6" x14ac:dyDescent="0.25">
      <c r="A41" s="1">
        <v>45527</v>
      </c>
      <c r="B41" s="4">
        <v>7.1</v>
      </c>
      <c r="C41" s="4">
        <v>7.3</v>
      </c>
      <c r="D41" s="4">
        <v>6.88</v>
      </c>
      <c r="E41" s="4">
        <v>6.88</v>
      </c>
      <c r="F41" s="4">
        <v>1763867</v>
      </c>
    </row>
    <row r="42" spans="1:6" x14ac:dyDescent="0.25">
      <c r="A42" s="1">
        <v>45530</v>
      </c>
      <c r="B42" s="4">
        <v>7.03</v>
      </c>
      <c r="C42" s="4">
        <v>7.05</v>
      </c>
      <c r="D42" s="4">
        <v>6.92</v>
      </c>
      <c r="E42" s="4">
        <v>7</v>
      </c>
      <c r="F42" s="4">
        <v>82771</v>
      </c>
    </row>
    <row r="43" spans="1:6" x14ac:dyDescent="0.25">
      <c r="A43" s="1">
        <v>45531</v>
      </c>
      <c r="B43" s="4">
        <v>7.01</v>
      </c>
      <c r="C43" s="4">
        <v>7.09</v>
      </c>
      <c r="D43" s="4">
        <v>6.95</v>
      </c>
      <c r="E43" s="4">
        <v>7</v>
      </c>
      <c r="F43" s="4">
        <v>57275</v>
      </c>
    </row>
    <row r="44" spans="1:6" x14ac:dyDescent="0.25">
      <c r="A44" s="1">
        <v>45532</v>
      </c>
      <c r="B44" s="4">
        <v>7.01</v>
      </c>
      <c r="C44" s="4">
        <v>7.05</v>
      </c>
      <c r="D44" s="4">
        <v>6.95</v>
      </c>
      <c r="E44" s="4">
        <v>6.99</v>
      </c>
      <c r="F44" s="4">
        <v>100608</v>
      </c>
    </row>
    <row r="45" spans="1:6" x14ac:dyDescent="0.25">
      <c r="A45" s="1">
        <v>45533</v>
      </c>
      <c r="B45" s="4">
        <v>6.95</v>
      </c>
      <c r="C45" s="4">
        <v>7</v>
      </c>
      <c r="D45" s="4">
        <v>6.82</v>
      </c>
      <c r="E45" s="4">
        <v>6.88</v>
      </c>
      <c r="F45" s="4">
        <v>122423</v>
      </c>
    </row>
    <row r="46" spans="1:6" x14ac:dyDescent="0.25">
      <c r="A46" s="1">
        <v>45534</v>
      </c>
      <c r="B46" s="4">
        <v>6.95</v>
      </c>
      <c r="C46" s="4">
        <v>7.08</v>
      </c>
      <c r="D46" s="4">
        <v>6.85</v>
      </c>
      <c r="E46" s="4">
        <v>6.94</v>
      </c>
      <c r="F46" s="4">
        <v>59855</v>
      </c>
    </row>
    <row r="47" spans="1:6" x14ac:dyDescent="0.25">
      <c r="A47" s="1">
        <v>45537</v>
      </c>
      <c r="B47" s="4">
        <v>6.94</v>
      </c>
      <c r="C47" s="4">
        <v>7</v>
      </c>
      <c r="D47" s="4">
        <v>6.83</v>
      </c>
      <c r="E47" s="4">
        <v>7</v>
      </c>
      <c r="F47" s="4">
        <v>230900</v>
      </c>
    </row>
    <row r="48" spans="1:6" x14ac:dyDescent="0.25">
      <c r="A48" s="1">
        <v>45538</v>
      </c>
      <c r="B48" s="4">
        <v>7.02</v>
      </c>
      <c r="C48" s="4">
        <v>7.08</v>
      </c>
      <c r="D48" s="4">
        <v>6.91</v>
      </c>
      <c r="E48" s="4">
        <v>6.98</v>
      </c>
      <c r="F48" s="4">
        <v>90570</v>
      </c>
    </row>
    <row r="49" spans="1:6" x14ac:dyDescent="0.25">
      <c r="A49" s="1">
        <v>45539</v>
      </c>
      <c r="B49" s="4">
        <v>6.89</v>
      </c>
      <c r="C49" s="4">
        <v>6.8949999999999996</v>
      </c>
      <c r="D49" s="4">
        <v>6.7</v>
      </c>
      <c r="E49" s="4">
        <v>6.82</v>
      </c>
      <c r="F49" s="4">
        <v>91262</v>
      </c>
    </row>
    <row r="50" spans="1:6" x14ac:dyDescent="0.25">
      <c r="A50" s="1">
        <v>45540</v>
      </c>
      <c r="B50" s="4">
        <v>6.87</v>
      </c>
      <c r="C50" s="4">
        <v>7.01</v>
      </c>
      <c r="D50" s="4">
        <v>6.76</v>
      </c>
      <c r="E50" s="4">
        <v>6.78</v>
      </c>
      <c r="F50" s="4">
        <v>104583</v>
      </c>
    </row>
    <row r="51" spans="1:6" x14ac:dyDescent="0.25">
      <c r="A51" s="1">
        <v>45541</v>
      </c>
      <c r="B51" s="4">
        <v>6.84</v>
      </c>
      <c r="C51" s="4">
        <v>6.9</v>
      </c>
      <c r="D51" s="4">
        <v>6.81</v>
      </c>
      <c r="E51" s="4">
        <v>6.85</v>
      </c>
      <c r="F51" s="4">
        <v>108533</v>
      </c>
    </row>
    <row r="52" spans="1:6" x14ac:dyDescent="0.25">
      <c r="A52" s="1">
        <v>45544</v>
      </c>
      <c r="B52" s="4">
        <v>6.79</v>
      </c>
      <c r="C52" s="4">
        <v>6.79</v>
      </c>
      <c r="D52" s="4">
        <v>6.67</v>
      </c>
      <c r="E52" s="4">
        <v>6.72</v>
      </c>
      <c r="F52" s="4">
        <v>76452</v>
      </c>
    </row>
    <row r="53" spans="1:6" x14ac:dyDescent="0.25">
      <c r="A53" s="1">
        <v>45545</v>
      </c>
      <c r="B53" s="4">
        <v>6.69</v>
      </c>
      <c r="C53" s="4">
        <v>6.8</v>
      </c>
      <c r="D53" s="4">
        <v>6.63</v>
      </c>
      <c r="E53" s="4">
        <v>6.65</v>
      </c>
      <c r="F53" s="4">
        <v>83721</v>
      </c>
    </row>
    <row r="54" spans="1:6" x14ac:dyDescent="0.25">
      <c r="A54" s="1">
        <v>45546</v>
      </c>
      <c r="B54" s="4">
        <v>6.77</v>
      </c>
      <c r="C54" s="4">
        <v>6.77</v>
      </c>
      <c r="D54" s="4">
        <v>6.6</v>
      </c>
      <c r="E54" s="4">
        <v>6.66</v>
      </c>
      <c r="F54" s="4">
        <v>101703</v>
      </c>
    </row>
    <row r="55" spans="1:6" x14ac:dyDescent="0.25">
      <c r="A55" s="1">
        <v>45547</v>
      </c>
      <c r="B55" s="4">
        <v>6.66</v>
      </c>
      <c r="C55" s="4">
        <v>6.77</v>
      </c>
      <c r="D55" s="4">
        <v>6.42</v>
      </c>
      <c r="E55" s="4">
        <v>6.7</v>
      </c>
      <c r="F55" s="4">
        <v>143183</v>
      </c>
    </row>
    <row r="56" spans="1:6" x14ac:dyDescent="0.25">
      <c r="A56" s="1">
        <v>45548</v>
      </c>
      <c r="B56" s="4">
        <v>6.76</v>
      </c>
      <c r="C56" s="4">
        <v>6.76</v>
      </c>
      <c r="D56" s="4">
        <v>6.64</v>
      </c>
      <c r="E56" s="4">
        <v>6.67</v>
      </c>
      <c r="F56" s="4">
        <v>137677</v>
      </c>
    </row>
    <row r="57" spans="1:6" x14ac:dyDescent="0.25">
      <c r="A57" s="1">
        <v>45551</v>
      </c>
      <c r="B57" s="4">
        <v>6.68</v>
      </c>
      <c r="C57" s="4">
        <v>6.84</v>
      </c>
      <c r="D57" s="4">
        <v>6.65</v>
      </c>
      <c r="E57" s="4">
        <v>6.7</v>
      </c>
      <c r="F57" s="4">
        <v>115215</v>
      </c>
    </row>
    <row r="58" spans="1:6" x14ac:dyDescent="0.25">
      <c r="A58" s="1">
        <v>45552</v>
      </c>
      <c r="B58" s="4">
        <v>6.7</v>
      </c>
      <c r="C58" s="4">
        <v>6.75</v>
      </c>
      <c r="D58" s="4">
        <v>6.64</v>
      </c>
      <c r="E58" s="4">
        <v>6.7</v>
      </c>
      <c r="F58" s="4">
        <v>213208</v>
      </c>
    </row>
    <row r="59" spans="1:6" x14ac:dyDescent="0.25">
      <c r="A59" s="1">
        <v>45553</v>
      </c>
      <c r="B59" s="4">
        <v>6.74</v>
      </c>
      <c r="C59" s="4">
        <v>6.87</v>
      </c>
      <c r="D59" s="4">
        <v>6.7</v>
      </c>
      <c r="E59" s="4">
        <v>6.75</v>
      </c>
      <c r="F59" s="4">
        <v>175959</v>
      </c>
    </row>
    <row r="60" spans="1:6" x14ac:dyDescent="0.25">
      <c r="A60" s="1">
        <v>45554</v>
      </c>
      <c r="B60" s="4">
        <v>6.75</v>
      </c>
      <c r="C60" s="4">
        <v>6.78</v>
      </c>
      <c r="D60" s="4">
        <v>6.73</v>
      </c>
      <c r="E60" s="4">
        <v>6.76</v>
      </c>
      <c r="F60" s="4">
        <v>156770</v>
      </c>
    </row>
    <row r="61" spans="1:6" x14ac:dyDescent="0.25">
      <c r="A61" s="1">
        <v>45555</v>
      </c>
      <c r="B61" s="4">
        <v>6.77</v>
      </c>
      <c r="C61" s="4">
        <v>7.1</v>
      </c>
      <c r="D61" s="4">
        <v>6.77</v>
      </c>
      <c r="E61" s="4">
        <v>6.91</v>
      </c>
      <c r="F61" s="4">
        <v>213082</v>
      </c>
    </row>
    <row r="62" spans="1:6" x14ac:dyDescent="0.25">
      <c r="A62" s="1">
        <v>45558</v>
      </c>
      <c r="B62" s="4">
        <v>6.88</v>
      </c>
      <c r="C62" s="4">
        <v>7.21</v>
      </c>
      <c r="D62" s="4">
        <v>6.85</v>
      </c>
      <c r="E62" s="4">
        <v>7.04</v>
      </c>
      <c r="F62" s="4">
        <v>222843</v>
      </c>
    </row>
    <row r="63" spans="1:6" x14ac:dyDescent="0.25">
      <c r="A63" s="1">
        <v>45559</v>
      </c>
      <c r="B63" s="4">
        <v>7.03</v>
      </c>
      <c r="C63" s="4">
        <v>7.12</v>
      </c>
      <c r="D63" s="4">
        <v>6.92</v>
      </c>
      <c r="E63" s="4">
        <v>7.08</v>
      </c>
      <c r="F63" s="4">
        <v>155575</v>
      </c>
    </row>
    <row r="64" spans="1:6" x14ac:dyDescent="0.25">
      <c r="A64" s="1">
        <v>45560</v>
      </c>
      <c r="B64" s="4">
        <v>7.13</v>
      </c>
      <c r="C64" s="4">
        <v>7.2149999999999999</v>
      </c>
      <c r="D64" s="4">
        <v>7.04</v>
      </c>
      <c r="E64" s="4">
        <v>7.09</v>
      </c>
      <c r="F64" s="4">
        <v>167393</v>
      </c>
    </row>
    <row r="65" spans="1:6" x14ac:dyDescent="0.25">
      <c r="A65" s="1">
        <v>45561</v>
      </c>
      <c r="B65" s="4">
        <v>7.09</v>
      </c>
      <c r="C65" s="4">
        <v>7.39</v>
      </c>
      <c r="D65" s="4">
        <v>7.09</v>
      </c>
      <c r="E65" s="4">
        <v>7.3</v>
      </c>
      <c r="F65" s="4">
        <v>353878</v>
      </c>
    </row>
    <row r="66" spans="1:6" x14ac:dyDescent="0.25">
      <c r="A66" s="1">
        <v>45562</v>
      </c>
      <c r="B66" s="4">
        <v>7.2</v>
      </c>
      <c r="C66" s="4">
        <v>7.31</v>
      </c>
      <c r="D66" s="4">
        <v>7.2</v>
      </c>
      <c r="E66" s="4">
        <v>7.31</v>
      </c>
      <c r="F66" s="4">
        <v>158883</v>
      </c>
    </row>
    <row r="67" spans="1:6" x14ac:dyDescent="0.25">
      <c r="A67" s="1">
        <v>45565</v>
      </c>
      <c r="B67" s="4">
        <v>7.58</v>
      </c>
      <c r="C67" s="4">
        <v>7.65</v>
      </c>
      <c r="D67" s="4">
        <v>7.32</v>
      </c>
      <c r="E67" s="4">
        <v>7.5</v>
      </c>
      <c r="F67" s="4">
        <v>304744</v>
      </c>
    </row>
    <row r="68" spans="1:6" x14ac:dyDescent="0.25">
      <c r="A68" s="1">
        <v>45566</v>
      </c>
      <c r="B68" s="4">
        <v>7.59</v>
      </c>
      <c r="C68" s="4">
        <v>7.65</v>
      </c>
      <c r="D68" s="4">
        <v>7.42</v>
      </c>
      <c r="E68" s="4">
        <v>7.64</v>
      </c>
      <c r="F68" s="4">
        <v>162955</v>
      </c>
    </row>
    <row r="69" spans="1:6" x14ac:dyDescent="0.25">
      <c r="A69" s="1">
        <v>45567</v>
      </c>
      <c r="B69" s="4">
        <v>7.63</v>
      </c>
      <c r="C69" s="4">
        <v>7.75</v>
      </c>
      <c r="D69" s="4">
        <v>7.53</v>
      </c>
      <c r="E69" s="4">
        <v>7.7</v>
      </c>
      <c r="F69" s="4">
        <v>124474</v>
      </c>
    </row>
    <row r="70" spans="1:6" x14ac:dyDescent="0.25">
      <c r="A70" s="1">
        <v>45568</v>
      </c>
      <c r="B70" s="4">
        <v>7.8</v>
      </c>
      <c r="C70" s="4">
        <v>7.85</v>
      </c>
      <c r="D70" s="4">
        <v>7.5350000000000001</v>
      </c>
      <c r="E70" s="4">
        <v>7.75</v>
      </c>
      <c r="F70" s="4">
        <v>187027</v>
      </c>
    </row>
    <row r="71" spans="1:6" x14ac:dyDescent="0.25">
      <c r="A71" s="1">
        <v>45569</v>
      </c>
      <c r="B71" s="4">
        <v>7.83</v>
      </c>
      <c r="C71" s="4">
        <v>7.83</v>
      </c>
      <c r="D71" s="4">
        <v>7.55</v>
      </c>
      <c r="E71" s="4">
        <v>7.6</v>
      </c>
      <c r="F71" s="4">
        <v>94939</v>
      </c>
    </row>
    <row r="72" spans="1:6" x14ac:dyDescent="0.25">
      <c r="A72" s="1">
        <v>45572</v>
      </c>
      <c r="B72" s="4">
        <v>7.67</v>
      </c>
      <c r="C72" s="4">
        <v>7.74</v>
      </c>
      <c r="D72" s="4">
        <v>7.56</v>
      </c>
      <c r="E72" s="4">
        <v>7.7</v>
      </c>
      <c r="F72" s="4">
        <v>51999</v>
      </c>
    </row>
    <row r="73" spans="1:6" x14ac:dyDescent="0.25">
      <c r="A73" s="1">
        <v>45573</v>
      </c>
      <c r="B73" s="4">
        <v>7.71</v>
      </c>
      <c r="C73" s="4">
        <v>7.74</v>
      </c>
      <c r="D73" s="4">
        <v>7.58</v>
      </c>
      <c r="E73" s="4">
        <v>7.65</v>
      </c>
      <c r="F73" s="4">
        <v>70668</v>
      </c>
    </row>
    <row r="74" spans="1:6" x14ac:dyDescent="0.25">
      <c r="A74" s="1">
        <v>45574</v>
      </c>
      <c r="B74" s="4">
        <v>7.6</v>
      </c>
      <c r="C74" s="4">
        <v>7.77</v>
      </c>
      <c r="D74" s="4">
        <v>7.6</v>
      </c>
      <c r="E74" s="4">
        <v>7.75</v>
      </c>
      <c r="F74" s="4">
        <v>92087</v>
      </c>
    </row>
    <row r="75" spans="1:6" x14ac:dyDescent="0.25">
      <c r="A75" s="1">
        <v>45575</v>
      </c>
      <c r="B75" s="4">
        <v>7.73</v>
      </c>
      <c r="C75" s="4">
        <v>7.89</v>
      </c>
      <c r="D75" s="4">
        <v>7.64</v>
      </c>
      <c r="E75" s="4">
        <v>7.7</v>
      </c>
      <c r="F75" s="4">
        <v>149400</v>
      </c>
    </row>
    <row r="76" spans="1:6" x14ac:dyDescent="0.25">
      <c r="A76" s="1">
        <v>45576</v>
      </c>
      <c r="B76" s="4">
        <v>7.7</v>
      </c>
      <c r="C76" s="4">
        <v>7.75</v>
      </c>
      <c r="D76" s="4">
        <v>7.61</v>
      </c>
      <c r="E76" s="4">
        <v>7.71</v>
      </c>
      <c r="F76" s="4">
        <v>71778</v>
      </c>
    </row>
    <row r="77" spans="1:6" x14ac:dyDescent="0.25">
      <c r="A77" s="1">
        <v>45579</v>
      </c>
      <c r="B77" s="4">
        <v>7.73</v>
      </c>
      <c r="C77" s="4">
        <v>7.78</v>
      </c>
      <c r="D77" s="4">
        <v>7.53</v>
      </c>
      <c r="E77" s="4">
        <v>7.62</v>
      </c>
      <c r="F77" s="4">
        <v>374206</v>
      </c>
    </row>
    <row r="78" spans="1:6" x14ac:dyDescent="0.25">
      <c r="A78" s="1">
        <v>45580</v>
      </c>
      <c r="B78" s="4">
        <v>7.56</v>
      </c>
      <c r="C78" s="4">
        <v>8.06</v>
      </c>
      <c r="D78" s="4">
        <v>7.56</v>
      </c>
      <c r="E78" s="4">
        <v>8.0299999999999994</v>
      </c>
      <c r="F78" s="4">
        <v>147740</v>
      </c>
    </row>
    <row r="79" spans="1:6" x14ac:dyDescent="0.25">
      <c r="A79" s="1">
        <v>45581</v>
      </c>
      <c r="B79" s="4">
        <v>8</v>
      </c>
      <c r="C79" s="4">
        <v>8.24</v>
      </c>
      <c r="D79" s="4">
        <v>7.94</v>
      </c>
      <c r="E79" s="4">
        <v>8.1199999999999992</v>
      </c>
      <c r="F79" s="4">
        <v>330849</v>
      </c>
    </row>
    <row r="80" spans="1:6" x14ac:dyDescent="0.25">
      <c r="A80" s="1">
        <v>45582</v>
      </c>
      <c r="B80" s="4">
        <v>8.1999999999999993</v>
      </c>
      <c r="C80" s="4">
        <v>8.23</v>
      </c>
      <c r="D80" s="4">
        <v>8.0299999999999994</v>
      </c>
      <c r="E80" s="4">
        <v>8.09</v>
      </c>
      <c r="F80" s="4">
        <v>75140</v>
      </c>
    </row>
    <row r="81" spans="1:6" x14ac:dyDescent="0.25">
      <c r="A81" s="1">
        <v>45583</v>
      </c>
      <c r="B81" s="4">
        <v>8.1</v>
      </c>
      <c r="C81" s="4">
        <v>8.16</v>
      </c>
      <c r="D81" s="4">
        <v>7.95</v>
      </c>
      <c r="E81" s="4">
        <v>8.16</v>
      </c>
      <c r="F81" s="4">
        <v>77637</v>
      </c>
    </row>
    <row r="82" spans="1:6" x14ac:dyDescent="0.25">
      <c r="A82" s="1">
        <v>45586</v>
      </c>
      <c r="B82" s="4">
        <v>8.09</v>
      </c>
      <c r="C82" s="4">
        <v>8.36</v>
      </c>
      <c r="D82" s="4">
        <v>8.08</v>
      </c>
      <c r="E82" s="4">
        <v>8.25</v>
      </c>
      <c r="F82" s="4">
        <v>91507</v>
      </c>
    </row>
    <row r="83" spans="1:6" x14ac:dyDescent="0.25">
      <c r="A83" s="1">
        <v>45587</v>
      </c>
      <c r="B83" s="4">
        <v>8.2899999999999991</v>
      </c>
      <c r="C83" s="4">
        <v>8.32</v>
      </c>
      <c r="D83" s="4">
        <v>7.9649999999999999</v>
      </c>
      <c r="E83" s="4">
        <v>8.25</v>
      </c>
      <c r="F83" s="4">
        <v>310090</v>
      </c>
    </row>
    <row r="84" spans="1:6" x14ac:dyDescent="0.25">
      <c r="A84" s="1">
        <v>45588</v>
      </c>
      <c r="B84" s="4">
        <v>8.25</v>
      </c>
      <c r="C84" s="4">
        <v>8.33</v>
      </c>
      <c r="D84" s="4">
        <v>8.1199999999999992</v>
      </c>
      <c r="E84" s="4">
        <v>8.2100000000000009</v>
      </c>
      <c r="F84" s="4">
        <v>121640</v>
      </c>
    </row>
    <row r="85" spans="1:6" x14ac:dyDescent="0.25">
      <c r="A85" s="1">
        <v>45589</v>
      </c>
      <c r="B85" s="4">
        <v>8.2100000000000009</v>
      </c>
      <c r="C85" s="4">
        <v>8.2100000000000009</v>
      </c>
      <c r="D85" s="4">
        <v>7.84</v>
      </c>
      <c r="E85" s="4">
        <v>7.96</v>
      </c>
      <c r="F85" s="4">
        <v>147525</v>
      </c>
    </row>
    <row r="86" spans="1:6" x14ac:dyDescent="0.25">
      <c r="A86" s="1">
        <v>45590</v>
      </c>
      <c r="B86" s="4">
        <v>7.96</v>
      </c>
      <c r="C86" s="4">
        <v>8.09</v>
      </c>
      <c r="D86" s="4">
        <v>7.94</v>
      </c>
      <c r="E86" s="4">
        <v>7.98</v>
      </c>
      <c r="F86" s="4">
        <v>52216</v>
      </c>
    </row>
    <row r="87" spans="1:6" x14ac:dyDescent="0.25">
      <c r="A87" s="1">
        <v>45593</v>
      </c>
      <c r="B87" s="4">
        <v>8.18</v>
      </c>
      <c r="C87" s="4">
        <v>8.2799999999999994</v>
      </c>
      <c r="D87" s="4">
        <v>7.97</v>
      </c>
      <c r="E87" s="4">
        <v>8.19</v>
      </c>
      <c r="F87" s="4">
        <v>105655</v>
      </c>
    </row>
    <row r="88" spans="1:6" x14ac:dyDescent="0.25">
      <c r="A88" s="1">
        <v>45594</v>
      </c>
      <c r="B88" s="4">
        <v>8.2200000000000006</v>
      </c>
      <c r="C88" s="4">
        <v>8.4</v>
      </c>
      <c r="D88" s="4">
        <v>8.02</v>
      </c>
      <c r="E88" s="4">
        <v>8.33</v>
      </c>
      <c r="F88" s="4">
        <v>166779</v>
      </c>
    </row>
    <row r="89" spans="1:6" x14ac:dyDescent="0.25">
      <c r="A89" s="1">
        <v>45595</v>
      </c>
      <c r="B89" s="4">
        <v>8.33</v>
      </c>
      <c r="C89" s="4">
        <v>8.42</v>
      </c>
      <c r="D89" s="4">
        <v>7.5149999999999997</v>
      </c>
      <c r="E89" s="4">
        <v>7.99</v>
      </c>
      <c r="F89" s="4">
        <v>395440</v>
      </c>
    </row>
    <row r="90" spans="1:6" x14ac:dyDescent="0.25">
      <c r="A90" s="1">
        <v>45596</v>
      </c>
      <c r="B90" s="4">
        <v>7.92</v>
      </c>
      <c r="C90" s="4">
        <v>8</v>
      </c>
      <c r="D90" s="4">
        <v>7.49</v>
      </c>
      <c r="E90" s="4">
        <v>7.88</v>
      </c>
      <c r="F90" s="4">
        <v>200046</v>
      </c>
    </row>
    <row r="91" spans="1:6" x14ac:dyDescent="0.25">
      <c r="A91" s="1">
        <v>45597</v>
      </c>
      <c r="B91" s="4">
        <v>7.85</v>
      </c>
      <c r="C91" s="4">
        <v>8.0399999999999991</v>
      </c>
      <c r="D91" s="4">
        <v>7.72</v>
      </c>
      <c r="E91" s="4">
        <v>7.8</v>
      </c>
      <c r="F91" s="4">
        <v>119061</v>
      </c>
    </row>
    <row r="92" spans="1:6" x14ac:dyDescent="0.25">
      <c r="A92" s="1">
        <v>45600</v>
      </c>
      <c r="B92" s="4">
        <v>7.83</v>
      </c>
      <c r="C92" s="4">
        <v>7.92</v>
      </c>
      <c r="D92" s="4">
        <v>7.57</v>
      </c>
      <c r="E92" s="4">
        <v>7.65</v>
      </c>
      <c r="F92" s="4">
        <v>112819</v>
      </c>
    </row>
    <row r="93" spans="1:6" x14ac:dyDescent="0.25">
      <c r="A93" s="1">
        <v>45601</v>
      </c>
      <c r="B93" s="4">
        <v>7.7</v>
      </c>
      <c r="C93" s="4">
        <v>7.7</v>
      </c>
      <c r="D93" s="4">
        <v>7.6</v>
      </c>
      <c r="E93" s="4">
        <v>7.64</v>
      </c>
      <c r="F93" s="4">
        <v>41104</v>
      </c>
    </row>
    <row r="94" spans="1:6" x14ac:dyDescent="0.25">
      <c r="A94" s="1">
        <v>45602</v>
      </c>
      <c r="B94" s="4">
        <v>7.67</v>
      </c>
      <c r="C94" s="4">
        <v>7.81</v>
      </c>
      <c r="D94" s="4">
        <v>7.6349999999999998</v>
      </c>
      <c r="E94" s="4">
        <v>7.68</v>
      </c>
      <c r="F94" s="4">
        <v>110653</v>
      </c>
    </row>
    <row r="95" spans="1:6" x14ac:dyDescent="0.25">
      <c r="A95" s="1">
        <v>45603</v>
      </c>
      <c r="B95" s="4">
        <v>7.68</v>
      </c>
      <c r="C95" s="4">
        <v>7.82</v>
      </c>
      <c r="D95" s="4">
        <v>7.59</v>
      </c>
      <c r="E95" s="4">
        <v>7.61</v>
      </c>
      <c r="F95" s="4">
        <v>123629</v>
      </c>
    </row>
    <row r="96" spans="1:6" x14ac:dyDescent="0.25">
      <c r="A96" s="1">
        <v>45604</v>
      </c>
      <c r="B96" s="4">
        <v>7.65</v>
      </c>
      <c r="C96" s="4">
        <v>7.78</v>
      </c>
      <c r="D96" s="4">
        <v>7.51</v>
      </c>
      <c r="E96" s="4">
        <v>7.73</v>
      </c>
      <c r="F96" s="4">
        <v>190861</v>
      </c>
    </row>
    <row r="97" spans="1:6" x14ac:dyDescent="0.25">
      <c r="A97" s="1">
        <v>45607</v>
      </c>
      <c r="B97" s="4">
        <v>7.68</v>
      </c>
      <c r="C97" s="4">
        <v>7.73</v>
      </c>
      <c r="D97" s="4">
        <v>7.55</v>
      </c>
      <c r="E97" s="4">
        <v>7.73</v>
      </c>
      <c r="F97" s="4">
        <v>54422</v>
      </c>
    </row>
    <row r="98" spans="1:6" x14ac:dyDescent="0.25">
      <c r="A98" s="1">
        <v>45608</v>
      </c>
      <c r="B98" s="4">
        <v>7.59</v>
      </c>
      <c r="C98" s="4">
        <v>7.96</v>
      </c>
      <c r="D98" s="4">
        <v>7.59</v>
      </c>
      <c r="E98" s="4">
        <v>7.83</v>
      </c>
      <c r="F98" s="4">
        <v>210416</v>
      </c>
    </row>
    <row r="99" spans="1:6" x14ac:dyDescent="0.25">
      <c r="A99" s="1">
        <v>45609</v>
      </c>
      <c r="B99" s="4">
        <v>7.54</v>
      </c>
      <c r="C99" s="4">
        <v>7.82</v>
      </c>
      <c r="D99" s="4">
        <v>7.54</v>
      </c>
      <c r="E99" s="4">
        <v>7.78</v>
      </c>
      <c r="F99" s="4">
        <v>37761</v>
      </c>
    </row>
    <row r="100" spans="1:6" x14ac:dyDescent="0.25">
      <c r="A100" s="1">
        <v>45610</v>
      </c>
      <c r="B100" s="4">
        <v>7.7</v>
      </c>
      <c r="C100" s="4">
        <v>7.79</v>
      </c>
      <c r="D100" s="4">
        <v>7.6849999999999996</v>
      </c>
      <c r="E100" s="4">
        <v>7.75</v>
      </c>
      <c r="F100" s="4">
        <v>57848</v>
      </c>
    </row>
    <row r="101" spans="1:6" x14ac:dyDescent="0.25">
      <c r="A101" s="1">
        <v>45611</v>
      </c>
      <c r="B101" s="4">
        <v>7.79</v>
      </c>
      <c r="C101" s="4">
        <v>8</v>
      </c>
      <c r="D101" s="4">
        <v>7.63</v>
      </c>
      <c r="E101" s="4">
        <v>7.92</v>
      </c>
      <c r="F101" s="4">
        <v>129795</v>
      </c>
    </row>
    <row r="102" spans="1:6" x14ac:dyDescent="0.25">
      <c r="A102" s="1">
        <v>45614</v>
      </c>
      <c r="B102" s="4">
        <v>7.95</v>
      </c>
      <c r="C102" s="4">
        <v>8.0500000000000007</v>
      </c>
      <c r="D102" s="4">
        <v>7.75</v>
      </c>
      <c r="E102" s="4">
        <v>7.91</v>
      </c>
      <c r="F102" s="4">
        <v>85518</v>
      </c>
    </row>
    <row r="103" spans="1:6" x14ac:dyDescent="0.25">
      <c r="A103" s="1">
        <v>45615</v>
      </c>
      <c r="B103" s="4">
        <v>8.0500000000000007</v>
      </c>
      <c r="C103" s="4">
        <v>8.1199999999999992</v>
      </c>
      <c r="D103" s="4">
        <v>8</v>
      </c>
      <c r="E103" s="4">
        <v>8.01</v>
      </c>
      <c r="F103" s="4">
        <v>72454</v>
      </c>
    </row>
    <row r="104" spans="1:6" x14ac:dyDescent="0.25">
      <c r="A104" s="1">
        <v>45616</v>
      </c>
      <c r="B104" s="4">
        <v>7.99</v>
      </c>
      <c r="C104" s="4">
        <v>8.01</v>
      </c>
      <c r="D104" s="4">
        <v>7.77</v>
      </c>
      <c r="E104" s="4">
        <v>7.77</v>
      </c>
      <c r="F104" s="4">
        <v>37779</v>
      </c>
    </row>
    <row r="105" spans="1:6" x14ac:dyDescent="0.25">
      <c r="A105" s="1">
        <v>45617</v>
      </c>
      <c r="B105" s="4">
        <v>7.77</v>
      </c>
      <c r="C105" s="4">
        <v>7.77</v>
      </c>
      <c r="D105" s="4">
        <v>7.46</v>
      </c>
      <c r="E105" s="4">
        <v>7.46</v>
      </c>
      <c r="F105" s="4">
        <v>77179</v>
      </c>
    </row>
    <row r="106" spans="1:6" x14ac:dyDescent="0.25">
      <c r="A106" s="1">
        <v>45618</v>
      </c>
      <c r="B106" s="4">
        <v>7.45</v>
      </c>
      <c r="C106" s="4">
        <v>7.49</v>
      </c>
      <c r="D106" s="4">
        <v>7.33</v>
      </c>
      <c r="E106" s="4">
        <v>7.44</v>
      </c>
      <c r="F106" s="4">
        <v>109294</v>
      </c>
    </row>
    <row r="107" spans="1:6" x14ac:dyDescent="0.25">
      <c r="A107" s="1">
        <v>45621</v>
      </c>
      <c r="B107" s="4">
        <v>7.46</v>
      </c>
      <c r="C107" s="4">
        <v>7.5</v>
      </c>
      <c r="D107" s="4">
        <v>7.22</v>
      </c>
      <c r="E107" s="4">
        <v>7.46</v>
      </c>
      <c r="F107" s="4">
        <v>284915</v>
      </c>
    </row>
    <row r="108" spans="1:6" x14ac:dyDescent="0.25">
      <c r="A108" s="1">
        <v>45622</v>
      </c>
      <c r="B108" s="4">
        <v>7.45</v>
      </c>
      <c r="C108" s="4">
        <v>7.78</v>
      </c>
      <c r="D108" s="4">
        <v>7.44</v>
      </c>
      <c r="E108" s="4">
        <v>7.66</v>
      </c>
      <c r="F108" s="4">
        <v>128668</v>
      </c>
    </row>
    <row r="109" spans="1:6" x14ac:dyDescent="0.25">
      <c r="A109" s="1">
        <v>45623</v>
      </c>
      <c r="B109" s="4">
        <v>7.65</v>
      </c>
      <c r="C109" s="4">
        <v>7.78</v>
      </c>
      <c r="D109" s="4">
        <v>7.57</v>
      </c>
      <c r="E109" s="4">
        <v>7.66</v>
      </c>
      <c r="F109" s="4">
        <v>33205</v>
      </c>
    </row>
    <row r="110" spans="1:6" x14ac:dyDescent="0.25">
      <c r="A110" s="1">
        <v>45624</v>
      </c>
      <c r="B110" s="4">
        <v>7.65</v>
      </c>
      <c r="C110" s="4">
        <v>7.72</v>
      </c>
      <c r="D110" s="4">
        <v>7.55</v>
      </c>
      <c r="E110" s="4">
        <v>7.55</v>
      </c>
      <c r="F110" s="4">
        <v>25958</v>
      </c>
    </row>
    <row r="111" spans="1:6" x14ac:dyDescent="0.25">
      <c r="A111" s="1">
        <v>45625</v>
      </c>
      <c r="B111" s="4">
        <v>7.42</v>
      </c>
      <c r="C111" s="4">
        <v>7.87</v>
      </c>
      <c r="D111" s="4">
        <v>7.42</v>
      </c>
      <c r="E111" s="4">
        <v>7.8</v>
      </c>
      <c r="F111" s="4">
        <v>78703</v>
      </c>
    </row>
    <row r="112" spans="1:6" x14ac:dyDescent="0.25">
      <c r="A112" s="1">
        <v>45628</v>
      </c>
      <c r="B112" s="4">
        <v>7.85</v>
      </c>
      <c r="C112" s="4">
        <v>7.92</v>
      </c>
      <c r="D112" s="4">
        <v>7.56</v>
      </c>
      <c r="E112" s="4">
        <v>7.66</v>
      </c>
      <c r="F112" s="4">
        <v>77338</v>
      </c>
    </row>
    <row r="113" spans="1:6" x14ac:dyDescent="0.25">
      <c r="A113" s="1">
        <v>45629</v>
      </c>
      <c r="B113" s="4">
        <v>7.65</v>
      </c>
      <c r="C113" s="4">
        <v>7.92</v>
      </c>
      <c r="D113" s="4">
        <v>7.65</v>
      </c>
      <c r="E113" s="4">
        <v>7.9</v>
      </c>
      <c r="F113" s="4">
        <v>96348</v>
      </c>
    </row>
    <row r="114" spans="1:6" x14ac:dyDescent="0.25">
      <c r="A114" s="1">
        <v>45630</v>
      </c>
      <c r="B114" s="4">
        <v>7.81</v>
      </c>
      <c r="C114" s="4">
        <v>8.1</v>
      </c>
      <c r="D114" s="4">
        <v>7.73</v>
      </c>
      <c r="E114" s="4">
        <v>8.08</v>
      </c>
      <c r="F114" s="4">
        <v>82275</v>
      </c>
    </row>
    <row r="115" spans="1:6" x14ac:dyDescent="0.25">
      <c r="A115" s="1">
        <v>45631</v>
      </c>
      <c r="B115" s="4">
        <v>8.08</v>
      </c>
      <c r="C115" s="4">
        <v>8.24</v>
      </c>
      <c r="D115" s="4">
        <v>8.07</v>
      </c>
      <c r="E115" s="4">
        <v>8.14</v>
      </c>
      <c r="F115" s="4">
        <v>247348</v>
      </c>
    </row>
    <row r="116" spans="1:6" x14ac:dyDescent="0.25">
      <c r="A116" s="1">
        <v>45632</v>
      </c>
      <c r="B116" s="4">
        <v>8.14</v>
      </c>
      <c r="C116" s="4">
        <v>8.25</v>
      </c>
      <c r="D116" s="4">
        <v>8.01</v>
      </c>
      <c r="E116" s="4">
        <v>8.06</v>
      </c>
      <c r="F116" s="4">
        <v>256540</v>
      </c>
    </row>
    <row r="117" spans="1:6" x14ac:dyDescent="0.25">
      <c r="A117" s="1">
        <v>45635</v>
      </c>
      <c r="B117" s="4">
        <v>8.1</v>
      </c>
      <c r="C117" s="4">
        <v>8.15</v>
      </c>
      <c r="D117" s="4">
        <v>7.91</v>
      </c>
      <c r="E117" s="4">
        <v>8</v>
      </c>
      <c r="F117" s="4">
        <v>109113</v>
      </c>
    </row>
    <row r="118" spans="1:6" x14ac:dyDescent="0.25">
      <c r="A118" s="1">
        <v>45636</v>
      </c>
      <c r="B118" s="4">
        <v>7.99</v>
      </c>
      <c r="C118" s="4">
        <v>8.0500000000000007</v>
      </c>
      <c r="D118" s="4">
        <v>7.76</v>
      </c>
      <c r="E118" s="4">
        <v>7.82</v>
      </c>
      <c r="F118" s="4">
        <v>127838</v>
      </c>
    </row>
    <row r="119" spans="1:6" x14ac:dyDescent="0.25">
      <c r="A119" s="1">
        <v>45637</v>
      </c>
      <c r="B119" s="4">
        <v>7.73</v>
      </c>
      <c r="C119" s="4">
        <v>7.835</v>
      </c>
      <c r="D119" s="4">
        <v>7.66</v>
      </c>
      <c r="E119" s="4">
        <v>7.74</v>
      </c>
      <c r="F119" s="4">
        <v>54670</v>
      </c>
    </row>
    <row r="120" spans="1:6" x14ac:dyDescent="0.25">
      <c r="A120" s="1">
        <v>45638</v>
      </c>
      <c r="B120" s="4">
        <v>7.68</v>
      </c>
      <c r="C120" s="4">
        <v>7.88</v>
      </c>
      <c r="D120" s="4">
        <v>7.68</v>
      </c>
      <c r="E120" s="4">
        <v>7.79</v>
      </c>
      <c r="F120" s="4">
        <v>58301</v>
      </c>
    </row>
    <row r="121" spans="1:6" x14ac:dyDescent="0.25">
      <c r="A121" s="1">
        <v>45639</v>
      </c>
      <c r="B121" s="4">
        <v>7.78</v>
      </c>
      <c r="C121" s="4">
        <v>7.84</v>
      </c>
      <c r="D121" s="4">
        <v>7.72</v>
      </c>
      <c r="E121" s="4">
        <v>7.73</v>
      </c>
      <c r="F121" s="4">
        <v>120799</v>
      </c>
    </row>
    <row r="122" spans="1:6" x14ac:dyDescent="0.25">
      <c r="A122" s="1">
        <v>45642</v>
      </c>
      <c r="B122" s="4">
        <v>7.72</v>
      </c>
      <c r="C122" s="4">
        <v>7.9</v>
      </c>
      <c r="D122" s="4">
        <v>7.72</v>
      </c>
      <c r="E122" s="4">
        <v>7.78</v>
      </c>
      <c r="F122" s="4">
        <v>59312</v>
      </c>
    </row>
    <row r="123" spans="1:6" x14ac:dyDescent="0.25">
      <c r="A123" s="1">
        <v>45643</v>
      </c>
      <c r="B123" s="4">
        <v>7.76</v>
      </c>
      <c r="C123" s="4">
        <v>8.0399999999999991</v>
      </c>
      <c r="D123" s="4">
        <v>7.75</v>
      </c>
      <c r="E123" s="4">
        <v>8.02</v>
      </c>
      <c r="F123" s="4">
        <v>131056</v>
      </c>
    </row>
    <row r="124" spans="1:6" x14ac:dyDescent="0.25">
      <c r="A124" s="1">
        <v>45644</v>
      </c>
      <c r="B124" s="4">
        <v>8.02</v>
      </c>
      <c r="C124" s="4">
        <v>8.11</v>
      </c>
      <c r="D124" s="4">
        <v>7.97</v>
      </c>
      <c r="E124" s="4">
        <v>8.0399999999999991</v>
      </c>
      <c r="F124" s="4">
        <v>133367</v>
      </c>
    </row>
    <row r="125" spans="1:6" x14ac:dyDescent="0.25">
      <c r="A125" s="1">
        <v>45645</v>
      </c>
      <c r="B125" s="4">
        <v>7.87</v>
      </c>
      <c r="C125" s="4">
        <v>7.97</v>
      </c>
      <c r="D125" s="4">
        <v>7.83</v>
      </c>
      <c r="E125" s="4">
        <v>7.94</v>
      </c>
      <c r="F125" s="4">
        <v>46797</v>
      </c>
    </row>
    <row r="126" spans="1:6" x14ac:dyDescent="0.25">
      <c r="A126" s="1">
        <v>45646</v>
      </c>
      <c r="B126" s="4">
        <v>7.84</v>
      </c>
      <c r="C126" s="4">
        <v>8.0500000000000007</v>
      </c>
      <c r="D126" s="4">
        <v>7.73</v>
      </c>
      <c r="E126" s="4">
        <v>7.97</v>
      </c>
      <c r="F126" s="4">
        <v>80796</v>
      </c>
    </row>
    <row r="127" spans="1:6" x14ac:dyDescent="0.25">
      <c r="A127" s="1">
        <v>45649</v>
      </c>
      <c r="B127" s="4">
        <v>7.83</v>
      </c>
      <c r="C127" s="4">
        <v>8.0299999999999994</v>
      </c>
      <c r="D127" s="4">
        <v>7.82</v>
      </c>
      <c r="E127" s="4">
        <v>8.02</v>
      </c>
      <c r="F127" s="4">
        <v>92194</v>
      </c>
    </row>
    <row r="128" spans="1:6" x14ac:dyDescent="0.25">
      <c r="A128" s="1">
        <v>45650</v>
      </c>
      <c r="B128" s="4">
        <v>7.85</v>
      </c>
      <c r="C128" s="4">
        <v>8.14</v>
      </c>
      <c r="D128" s="4">
        <v>7.85</v>
      </c>
      <c r="E128" s="4">
        <v>8.14</v>
      </c>
      <c r="F128" s="4">
        <v>47866</v>
      </c>
    </row>
    <row r="129" spans="1:6" x14ac:dyDescent="0.25">
      <c r="A129" s="1">
        <v>45653</v>
      </c>
      <c r="B129" s="4">
        <v>8.14</v>
      </c>
      <c r="C129" s="4">
        <v>8.43</v>
      </c>
      <c r="D129" s="4">
        <v>8.14</v>
      </c>
      <c r="E129" s="4">
        <v>8.39</v>
      </c>
      <c r="F129" s="4">
        <v>386522</v>
      </c>
    </row>
    <row r="130" spans="1:6" x14ac:dyDescent="0.25">
      <c r="A130" s="1">
        <v>45656</v>
      </c>
      <c r="B130" s="4">
        <v>8.3000000000000007</v>
      </c>
      <c r="C130" s="4">
        <v>8.43</v>
      </c>
      <c r="D130" s="4">
        <v>8.2200000000000006</v>
      </c>
      <c r="E130" s="4">
        <v>8.31</v>
      </c>
      <c r="F130" s="4">
        <v>75209</v>
      </c>
    </row>
    <row r="131" spans="1:6" x14ac:dyDescent="0.25">
      <c r="A131" s="1">
        <v>45657</v>
      </c>
      <c r="B131" s="4">
        <v>8.2799999999999994</v>
      </c>
      <c r="C131" s="4">
        <v>8.58</v>
      </c>
      <c r="D131" s="4">
        <v>8.1</v>
      </c>
      <c r="E131" s="4">
        <v>8.58</v>
      </c>
      <c r="F131" s="4">
        <v>26154</v>
      </c>
    </row>
    <row r="132" spans="1:6" x14ac:dyDescent="0.25">
      <c r="A132" s="1">
        <v>45659</v>
      </c>
      <c r="B132" s="4">
        <v>8.49</v>
      </c>
      <c r="C132" s="4">
        <v>8.5</v>
      </c>
      <c r="D132" s="4">
        <v>8.0399999999999991</v>
      </c>
      <c r="E132" s="4">
        <v>8.1</v>
      </c>
      <c r="F132" s="4">
        <v>58529</v>
      </c>
    </row>
    <row r="133" spans="1:6" x14ac:dyDescent="0.25">
      <c r="A133" s="1">
        <v>45660</v>
      </c>
      <c r="B133" s="4">
        <v>8.25</v>
      </c>
      <c r="C133" s="4">
        <v>8.25</v>
      </c>
      <c r="D133" s="4">
        <v>8.1</v>
      </c>
      <c r="E133" s="4">
        <v>8.18</v>
      </c>
      <c r="F133" s="4">
        <v>36461</v>
      </c>
    </row>
    <row r="134" spans="1:6" x14ac:dyDescent="0.25">
      <c r="A134" s="1">
        <v>45663</v>
      </c>
      <c r="B134" s="4">
        <v>8.27</v>
      </c>
      <c r="C134" s="4">
        <v>8.33</v>
      </c>
      <c r="D134" s="4">
        <v>8.14</v>
      </c>
      <c r="E134" s="4">
        <v>8.25</v>
      </c>
      <c r="F134" s="4">
        <v>70433</v>
      </c>
    </row>
    <row r="135" spans="1:6" x14ac:dyDescent="0.25">
      <c r="A135" s="1">
        <v>45664</v>
      </c>
      <c r="B135" s="4">
        <v>8.3000000000000007</v>
      </c>
      <c r="C135" s="4">
        <v>8.49</v>
      </c>
      <c r="D135" s="4">
        <v>8.2899999999999991</v>
      </c>
      <c r="E135" s="4">
        <v>8.44</v>
      </c>
      <c r="F135" s="4">
        <v>326608</v>
      </c>
    </row>
    <row r="136" spans="1:6" x14ac:dyDescent="0.25">
      <c r="A136" s="1">
        <v>45665</v>
      </c>
      <c r="B136" s="4">
        <v>8.4</v>
      </c>
      <c r="C136" s="4">
        <v>8.57</v>
      </c>
      <c r="D136" s="4">
        <v>8.31</v>
      </c>
      <c r="E136" s="4">
        <v>8.3800000000000008</v>
      </c>
      <c r="F136" s="4">
        <v>120085</v>
      </c>
    </row>
    <row r="137" spans="1:6" x14ac:dyDescent="0.25">
      <c r="A137" s="1">
        <v>45666</v>
      </c>
      <c r="B137" s="4">
        <v>8.39</v>
      </c>
      <c r="C137" s="4">
        <v>8.49</v>
      </c>
      <c r="D137" s="4">
        <v>8.35</v>
      </c>
      <c r="E137" s="4">
        <v>8.43</v>
      </c>
      <c r="F137" s="4">
        <v>88131</v>
      </c>
    </row>
    <row r="138" spans="1:6" x14ac:dyDescent="0.25">
      <c r="A138" s="1">
        <v>45667</v>
      </c>
      <c r="B138" s="4">
        <v>8.5500000000000007</v>
      </c>
      <c r="C138" s="4">
        <v>8.5500000000000007</v>
      </c>
      <c r="D138" s="4">
        <v>8.2899999999999991</v>
      </c>
      <c r="E138" s="4">
        <v>8.4</v>
      </c>
      <c r="F138" s="4">
        <v>451450</v>
      </c>
    </row>
    <row r="139" spans="1:6" x14ac:dyDescent="0.25">
      <c r="A139" s="1">
        <v>45670</v>
      </c>
      <c r="B139" s="4">
        <v>8.41</v>
      </c>
      <c r="C139" s="4">
        <v>8.41</v>
      </c>
      <c r="D139" s="4">
        <v>7.92</v>
      </c>
      <c r="E139" s="4">
        <v>8.11</v>
      </c>
      <c r="F139" s="4">
        <v>283789</v>
      </c>
    </row>
    <row r="140" spans="1:6" x14ac:dyDescent="0.25">
      <c r="A140" s="1">
        <v>45671</v>
      </c>
      <c r="B140" s="4">
        <v>8.09</v>
      </c>
      <c r="C140" s="4">
        <v>8.1199999999999992</v>
      </c>
      <c r="D140" s="4">
        <v>7.97</v>
      </c>
      <c r="E140" s="4">
        <v>8.0299999999999994</v>
      </c>
      <c r="F140" s="4">
        <v>151817</v>
      </c>
    </row>
    <row r="141" spans="1:6" x14ac:dyDescent="0.25">
      <c r="A141" s="1">
        <v>45672</v>
      </c>
      <c r="B141" s="4">
        <v>7.91</v>
      </c>
      <c r="C141" s="4">
        <v>7.98</v>
      </c>
      <c r="D141" s="4">
        <v>7.76</v>
      </c>
      <c r="E141" s="4">
        <v>7.8</v>
      </c>
      <c r="F141" s="4">
        <v>204952</v>
      </c>
    </row>
    <row r="142" spans="1:6" x14ac:dyDescent="0.25">
      <c r="A142" s="1">
        <v>45673</v>
      </c>
      <c r="B142" s="4">
        <v>7.74</v>
      </c>
      <c r="C142" s="4">
        <v>7.87</v>
      </c>
      <c r="D142" s="4">
        <v>7.68</v>
      </c>
      <c r="E142" s="4">
        <v>7.76</v>
      </c>
      <c r="F142" s="4">
        <v>101630</v>
      </c>
    </row>
    <row r="143" spans="1:6" x14ac:dyDescent="0.25">
      <c r="A143" s="1">
        <v>45674</v>
      </c>
      <c r="B143" s="4">
        <v>7.55</v>
      </c>
      <c r="C143" s="4">
        <v>7.74</v>
      </c>
      <c r="D143" s="4">
        <v>7.55</v>
      </c>
      <c r="E143" s="4">
        <v>7.72</v>
      </c>
      <c r="F143" s="4">
        <v>124424</v>
      </c>
    </row>
    <row r="144" spans="1:6" x14ac:dyDescent="0.25">
      <c r="A144" s="1">
        <v>45677</v>
      </c>
      <c r="B144" s="4">
        <v>7.62</v>
      </c>
      <c r="C144" s="4">
        <v>7.93</v>
      </c>
      <c r="D144" s="4">
        <v>7.52</v>
      </c>
      <c r="E144" s="4">
        <v>7.91</v>
      </c>
      <c r="F144" s="4">
        <v>65588</v>
      </c>
    </row>
    <row r="145" spans="1:6" x14ac:dyDescent="0.25">
      <c r="A145" s="1">
        <v>45678</v>
      </c>
      <c r="B145" s="4">
        <v>7.99</v>
      </c>
      <c r="C145" s="4">
        <v>8.16</v>
      </c>
      <c r="D145" s="4">
        <v>7.89</v>
      </c>
      <c r="E145" s="4">
        <v>8.1</v>
      </c>
      <c r="F145" s="4">
        <v>147956</v>
      </c>
    </row>
    <row r="146" spans="1:6" x14ac:dyDescent="0.25">
      <c r="A146" s="1">
        <v>45679</v>
      </c>
      <c r="B146" s="4">
        <v>8</v>
      </c>
      <c r="C146" s="4">
        <v>8.33</v>
      </c>
      <c r="D146" s="4">
        <v>8</v>
      </c>
      <c r="E146" s="4">
        <v>8.27</v>
      </c>
      <c r="F146" s="4">
        <v>68786</v>
      </c>
    </row>
    <row r="147" spans="1:6" x14ac:dyDescent="0.25">
      <c r="A147" s="1">
        <v>45680</v>
      </c>
      <c r="B147" s="4">
        <v>8.27</v>
      </c>
      <c r="C147" s="4">
        <v>8.35</v>
      </c>
      <c r="D147" s="4">
        <v>8.1</v>
      </c>
      <c r="E147" s="4">
        <v>8.1</v>
      </c>
      <c r="F147" s="4">
        <v>308291</v>
      </c>
    </row>
    <row r="148" spans="1:6" x14ac:dyDescent="0.25">
      <c r="A148" s="1">
        <v>45681</v>
      </c>
      <c r="B148" s="4">
        <v>8.02</v>
      </c>
      <c r="C148" s="4">
        <v>8.49</v>
      </c>
      <c r="D148" s="4">
        <v>8.02</v>
      </c>
      <c r="E148" s="4">
        <v>8.4</v>
      </c>
      <c r="F148" s="4">
        <v>71378</v>
      </c>
    </row>
    <row r="149" spans="1:6" x14ac:dyDescent="0.25">
      <c r="A149" s="1">
        <v>45685</v>
      </c>
      <c r="B149" s="4">
        <v>8.34</v>
      </c>
      <c r="C149" s="4">
        <v>8.44</v>
      </c>
      <c r="D149" s="4">
        <v>8.31</v>
      </c>
      <c r="E149" s="4">
        <v>8.39</v>
      </c>
      <c r="F149" s="4">
        <v>86813</v>
      </c>
    </row>
    <row r="150" spans="1:6" x14ac:dyDescent="0.25">
      <c r="A150" s="1">
        <v>45686</v>
      </c>
      <c r="B150" s="4">
        <v>8.39</v>
      </c>
      <c r="C150" s="4">
        <v>8.8000000000000007</v>
      </c>
      <c r="D150" s="4">
        <v>8.39</v>
      </c>
      <c r="E150" s="4">
        <v>8.4499999999999993</v>
      </c>
      <c r="F150" s="4">
        <v>417347</v>
      </c>
    </row>
    <row r="151" spans="1:6" x14ac:dyDescent="0.25">
      <c r="A151" s="1">
        <v>45687</v>
      </c>
      <c r="B151" s="4">
        <v>8.6</v>
      </c>
      <c r="C151" s="4">
        <v>8.6</v>
      </c>
      <c r="D151" s="4">
        <v>8.31</v>
      </c>
      <c r="E151" s="4">
        <v>8.4</v>
      </c>
      <c r="F151" s="4">
        <v>148502</v>
      </c>
    </row>
    <row r="152" spans="1:6" x14ac:dyDescent="0.25">
      <c r="A152" s="1">
        <v>45688</v>
      </c>
      <c r="B152" s="4">
        <v>8.52</v>
      </c>
      <c r="C152" s="4">
        <v>8.5250000000000004</v>
      </c>
      <c r="D152" s="4">
        <v>8.33</v>
      </c>
      <c r="E152" s="4">
        <v>8.52</v>
      </c>
      <c r="F152" s="4">
        <v>177567</v>
      </c>
    </row>
    <row r="153" spans="1:6" x14ac:dyDescent="0.25">
      <c r="A153" s="1">
        <v>45691</v>
      </c>
      <c r="B153" s="4">
        <v>8.48</v>
      </c>
      <c r="C153" s="4">
        <v>8.48</v>
      </c>
      <c r="D153" s="4">
        <v>8.1300000000000008</v>
      </c>
      <c r="E153" s="4">
        <v>8.17</v>
      </c>
      <c r="F153" s="4">
        <v>99429</v>
      </c>
    </row>
    <row r="154" spans="1:6" x14ac:dyDescent="0.25">
      <c r="A154" s="1">
        <v>45692</v>
      </c>
      <c r="B154" s="4">
        <v>8.1</v>
      </c>
      <c r="C154" s="4">
        <v>8.23</v>
      </c>
      <c r="D154" s="4">
        <v>8.1</v>
      </c>
      <c r="E154" s="4">
        <v>8.11</v>
      </c>
      <c r="F154" s="4">
        <v>74528</v>
      </c>
    </row>
    <row r="155" spans="1:6" x14ac:dyDescent="0.25">
      <c r="A155" s="1">
        <v>45693</v>
      </c>
      <c r="B155" s="4">
        <v>8.1</v>
      </c>
      <c r="C155" s="4">
        <v>8.25</v>
      </c>
      <c r="D155" s="4">
        <v>7.95</v>
      </c>
      <c r="E155" s="4">
        <v>8.09</v>
      </c>
      <c r="F155" s="4">
        <v>96089</v>
      </c>
    </row>
    <row r="156" spans="1:6" x14ac:dyDescent="0.25">
      <c r="A156" s="1">
        <v>45694</v>
      </c>
      <c r="B156" s="4">
        <v>8.15</v>
      </c>
      <c r="C156" s="4">
        <v>8.33</v>
      </c>
      <c r="D156" s="4">
        <v>8.0399999999999991</v>
      </c>
      <c r="E156" s="4">
        <v>8.3000000000000007</v>
      </c>
      <c r="F156" s="4">
        <v>188818</v>
      </c>
    </row>
    <row r="157" spans="1:6" x14ac:dyDescent="0.25">
      <c r="A157" s="1">
        <v>45695</v>
      </c>
      <c r="B157" s="4">
        <v>8.3000000000000007</v>
      </c>
      <c r="C157" s="4">
        <v>8.6</v>
      </c>
      <c r="D157" s="4">
        <v>8.2899999999999991</v>
      </c>
      <c r="E157" s="4">
        <v>8.4700000000000006</v>
      </c>
      <c r="F157" s="4">
        <v>170983</v>
      </c>
    </row>
    <row r="158" spans="1:6" x14ac:dyDescent="0.25">
      <c r="A158" s="1">
        <v>45698</v>
      </c>
      <c r="B158" s="4">
        <v>8.4600000000000009</v>
      </c>
      <c r="C158" s="4">
        <v>8.4600000000000009</v>
      </c>
      <c r="D158" s="4">
        <v>8.07</v>
      </c>
      <c r="E158" s="4">
        <v>8.19</v>
      </c>
      <c r="F158" s="4">
        <v>87709</v>
      </c>
    </row>
    <row r="159" spans="1:6" x14ac:dyDescent="0.25">
      <c r="A159" s="1">
        <v>45699</v>
      </c>
      <c r="B159" s="4">
        <v>8.18</v>
      </c>
      <c r="C159" s="4">
        <v>8.27</v>
      </c>
      <c r="D159" s="4">
        <v>8.02</v>
      </c>
      <c r="E159" s="4">
        <v>8.19</v>
      </c>
      <c r="F159" s="4">
        <v>74292</v>
      </c>
    </row>
    <row r="160" spans="1:6" x14ac:dyDescent="0.25">
      <c r="A160" s="1">
        <v>45700</v>
      </c>
      <c r="B160" s="4">
        <v>8.19</v>
      </c>
      <c r="C160" s="4">
        <v>8.2799999999999994</v>
      </c>
      <c r="D160" s="4">
        <v>8.07</v>
      </c>
      <c r="E160" s="4">
        <v>8.16</v>
      </c>
      <c r="F160" s="4">
        <v>51627</v>
      </c>
    </row>
    <row r="161" spans="1:6" x14ac:dyDescent="0.25">
      <c r="A161" s="1">
        <v>45701</v>
      </c>
      <c r="B161" s="4">
        <v>8.1999999999999993</v>
      </c>
      <c r="C161" s="4">
        <v>8.25</v>
      </c>
      <c r="D161" s="4">
        <v>8.0250000000000004</v>
      </c>
      <c r="E161" s="4">
        <v>8.16</v>
      </c>
      <c r="F161" s="4">
        <v>54050</v>
      </c>
    </row>
    <row r="162" spans="1:6" x14ac:dyDescent="0.25">
      <c r="A162" s="1">
        <v>45702</v>
      </c>
      <c r="B162" s="4">
        <v>8.32</v>
      </c>
      <c r="C162" s="4">
        <v>8.4499999999999993</v>
      </c>
      <c r="D162" s="4">
        <v>8.2650000000000006</v>
      </c>
      <c r="E162" s="4">
        <v>8.3000000000000007</v>
      </c>
      <c r="F162" s="4">
        <v>53391</v>
      </c>
    </row>
    <row r="163" spans="1:6" x14ac:dyDescent="0.25">
      <c r="A163" s="1">
        <v>45705</v>
      </c>
      <c r="B163" s="4">
        <v>8.32</v>
      </c>
      <c r="C163" s="4">
        <v>8.4</v>
      </c>
      <c r="D163" s="4">
        <v>8.15</v>
      </c>
      <c r="E163" s="4">
        <v>8.4</v>
      </c>
      <c r="F163" s="4">
        <v>151420</v>
      </c>
    </row>
    <row r="164" spans="1:6" x14ac:dyDescent="0.25">
      <c r="A164" s="1">
        <v>45706</v>
      </c>
      <c r="B164" s="4">
        <v>8.4</v>
      </c>
      <c r="C164" s="4">
        <v>8.52</v>
      </c>
      <c r="D164" s="4">
        <v>8.2200000000000006</v>
      </c>
      <c r="E164" s="4">
        <v>8.43</v>
      </c>
      <c r="F164" s="4">
        <v>149846</v>
      </c>
    </row>
    <row r="165" spans="1:6" x14ac:dyDescent="0.25">
      <c r="A165" s="1">
        <v>45707</v>
      </c>
      <c r="B165" s="4">
        <v>8.57</v>
      </c>
      <c r="C165" s="4">
        <v>8.66</v>
      </c>
      <c r="D165" s="4">
        <v>8.43</v>
      </c>
      <c r="E165" s="4">
        <v>8.48</v>
      </c>
      <c r="F165" s="4">
        <v>99286</v>
      </c>
    </row>
    <row r="166" spans="1:6" x14ac:dyDescent="0.25">
      <c r="A166" s="1">
        <v>45708</v>
      </c>
      <c r="B166" s="4">
        <v>8.84</v>
      </c>
      <c r="C166" s="4">
        <v>9.61</v>
      </c>
      <c r="D166" s="4">
        <v>8.84</v>
      </c>
      <c r="E166" s="4">
        <v>9.3000000000000007</v>
      </c>
      <c r="F166" s="4">
        <v>290773</v>
      </c>
    </row>
    <row r="167" spans="1:6" x14ac:dyDescent="0.25">
      <c r="A167" s="1">
        <v>45709</v>
      </c>
      <c r="B167" s="4">
        <v>9.3800000000000008</v>
      </c>
      <c r="C167" s="4">
        <v>9.3800000000000008</v>
      </c>
      <c r="D167" s="4">
        <v>9.09</v>
      </c>
      <c r="E167" s="4">
        <v>9.17</v>
      </c>
      <c r="F167" s="4">
        <v>422545</v>
      </c>
    </row>
    <row r="168" spans="1:6" x14ac:dyDescent="0.25">
      <c r="A168" s="1">
        <v>45712</v>
      </c>
      <c r="B168" s="4">
        <v>9.17</v>
      </c>
      <c r="C168" s="4">
        <v>9.17</v>
      </c>
      <c r="D168" s="4">
        <v>8.7200000000000006</v>
      </c>
      <c r="E168" s="4">
        <v>8.85</v>
      </c>
      <c r="F168" s="4">
        <v>198178</v>
      </c>
    </row>
    <row r="169" spans="1:6" x14ac:dyDescent="0.25">
      <c r="A169" s="1">
        <v>45713</v>
      </c>
      <c r="B169" s="4">
        <v>8.9</v>
      </c>
      <c r="C169" s="4">
        <v>8.9</v>
      </c>
      <c r="D169" s="4">
        <v>8.64</v>
      </c>
      <c r="E169" s="4">
        <v>8.69</v>
      </c>
      <c r="F169" s="4">
        <v>117192</v>
      </c>
    </row>
    <row r="170" spans="1:6" x14ac:dyDescent="0.25">
      <c r="A170" s="1">
        <v>45714</v>
      </c>
      <c r="B170" s="4">
        <v>8.8000000000000007</v>
      </c>
      <c r="C170" s="4">
        <v>8.8699999999999992</v>
      </c>
      <c r="D170" s="4">
        <v>8.56</v>
      </c>
      <c r="E170" s="4">
        <v>8.86</v>
      </c>
      <c r="F170" s="4">
        <v>131067</v>
      </c>
    </row>
    <row r="171" spans="1:6" x14ac:dyDescent="0.25">
      <c r="A171" s="1">
        <v>45715</v>
      </c>
      <c r="B171" s="4">
        <v>9</v>
      </c>
      <c r="C171" s="4">
        <v>9.14</v>
      </c>
      <c r="D171" s="4">
        <v>8.92</v>
      </c>
      <c r="E171" s="4">
        <v>8.94</v>
      </c>
      <c r="F171" s="4">
        <v>271880</v>
      </c>
    </row>
    <row r="172" spans="1:6" x14ac:dyDescent="0.25">
      <c r="A172" s="1">
        <v>45716</v>
      </c>
      <c r="B172" s="4">
        <v>8.94</v>
      </c>
      <c r="C172" s="4">
        <v>8.94</v>
      </c>
      <c r="D172" s="4">
        <v>8.64</v>
      </c>
      <c r="E172" s="4">
        <v>8.6999999999999993</v>
      </c>
      <c r="F172" s="4">
        <v>73899</v>
      </c>
    </row>
    <row r="173" spans="1:6" x14ac:dyDescent="0.25">
      <c r="A173" s="1">
        <v>45719</v>
      </c>
      <c r="B173" s="4">
        <v>8.65</v>
      </c>
      <c r="C173" s="4">
        <v>8.7799999999999994</v>
      </c>
      <c r="D173" s="4">
        <v>8.19</v>
      </c>
      <c r="E173" s="4">
        <v>8.4499999999999993</v>
      </c>
      <c r="F173" s="4">
        <v>223236</v>
      </c>
    </row>
    <row r="174" spans="1:6" x14ac:dyDescent="0.25">
      <c r="A174" s="1">
        <v>45720</v>
      </c>
      <c r="B174" s="4">
        <v>8.4</v>
      </c>
      <c r="C174" s="4">
        <v>8.4600000000000009</v>
      </c>
      <c r="D174" s="4">
        <v>8.08</v>
      </c>
      <c r="E174" s="4">
        <v>8.36</v>
      </c>
      <c r="F174" s="4">
        <v>194096</v>
      </c>
    </row>
    <row r="175" spans="1:6" x14ac:dyDescent="0.25">
      <c r="A175" s="1">
        <v>45721</v>
      </c>
      <c r="B175" s="4">
        <v>8.27</v>
      </c>
      <c r="C175" s="4">
        <v>8.6</v>
      </c>
      <c r="D175" s="4">
        <v>8.1300000000000008</v>
      </c>
      <c r="E175" s="4">
        <v>8.4</v>
      </c>
      <c r="F175" s="4">
        <v>188855</v>
      </c>
    </row>
    <row r="176" spans="1:6" x14ac:dyDescent="0.25">
      <c r="A176" s="1">
        <v>45722</v>
      </c>
      <c r="B176" s="4">
        <v>8.1999999999999993</v>
      </c>
      <c r="C176" s="4">
        <v>8.2100000000000009</v>
      </c>
      <c r="D176" s="4">
        <v>7.96</v>
      </c>
      <c r="E176" s="4">
        <v>8.14</v>
      </c>
      <c r="F176" s="4">
        <v>160197</v>
      </c>
    </row>
    <row r="177" spans="1:6" x14ac:dyDescent="0.25">
      <c r="A177" s="1">
        <v>45723</v>
      </c>
      <c r="B177" s="4">
        <v>8.1</v>
      </c>
      <c r="C177" s="4">
        <v>8.1</v>
      </c>
      <c r="D177" s="4">
        <v>7.89</v>
      </c>
      <c r="E177" s="4">
        <v>7.93</v>
      </c>
      <c r="F177" s="4">
        <v>116623</v>
      </c>
    </row>
    <row r="178" spans="1:6" x14ac:dyDescent="0.25">
      <c r="A178" s="1">
        <v>45726</v>
      </c>
      <c r="B178" s="4">
        <v>7.96</v>
      </c>
      <c r="C178" s="4">
        <v>8.18</v>
      </c>
      <c r="D178" s="4">
        <v>7.92</v>
      </c>
      <c r="E178" s="4">
        <v>8.02</v>
      </c>
      <c r="F178" s="4">
        <v>122074</v>
      </c>
    </row>
    <row r="179" spans="1:6" x14ac:dyDescent="0.25">
      <c r="A179" s="1">
        <v>45727</v>
      </c>
      <c r="B179" s="4">
        <v>7.9</v>
      </c>
      <c r="C179" s="4">
        <v>7.9</v>
      </c>
      <c r="D179" s="4">
        <v>7.4</v>
      </c>
      <c r="E179" s="4">
        <v>7.55</v>
      </c>
      <c r="F179" s="4">
        <v>391983</v>
      </c>
    </row>
    <row r="180" spans="1:6" x14ac:dyDescent="0.25">
      <c r="A180" s="1">
        <v>45728</v>
      </c>
      <c r="B180" s="4">
        <v>7.27</v>
      </c>
      <c r="C180" s="4">
        <v>7.47</v>
      </c>
      <c r="D180" s="4">
        <v>7.17</v>
      </c>
      <c r="E180" s="4">
        <v>7.42</v>
      </c>
      <c r="F180" s="4">
        <v>344394</v>
      </c>
    </row>
    <row r="181" spans="1:6" x14ac:dyDescent="0.25">
      <c r="A181" s="1">
        <v>45729</v>
      </c>
      <c r="B181" s="4">
        <v>7.46</v>
      </c>
      <c r="C181" s="4">
        <v>7.53</v>
      </c>
      <c r="D181" s="4">
        <v>7.31</v>
      </c>
      <c r="E181" s="4">
        <v>7.4</v>
      </c>
      <c r="F181" s="4">
        <v>150606</v>
      </c>
    </row>
    <row r="182" spans="1:6" x14ac:dyDescent="0.25">
      <c r="A182" s="1">
        <v>45730</v>
      </c>
      <c r="B182" s="4">
        <v>7.5</v>
      </c>
      <c r="C182" s="4">
        <v>7.5</v>
      </c>
      <c r="D182" s="4">
        <v>7.23</v>
      </c>
      <c r="E182" s="4">
        <v>7.4</v>
      </c>
      <c r="F182" s="4">
        <v>74053</v>
      </c>
    </row>
    <row r="183" spans="1:6" x14ac:dyDescent="0.25">
      <c r="A183" s="1">
        <v>45733</v>
      </c>
      <c r="B183" s="4">
        <v>7.4</v>
      </c>
      <c r="C183" s="4">
        <v>7.7</v>
      </c>
      <c r="D183" s="4">
        <v>7.4</v>
      </c>
      <c r="E183" s="4">
        <v>7.65</v>
      </c>
      <c r="F183" s="4">
        <v>160862</v>
      </c>
    </row>
    <row r="184" spans="1:6" x14ac:dyDescent="0.25">
      <c r="A184" s="1">
        <v>45734</v>
      </c>
      <c r="B184" s="4">
        <v>7.7750000000000004</v>
      </c>
      <c r="C184" s="4">
        <v>7.98</v>
      </c>
      <c r="D184" s="4">
        <v>7.69</v>
      </c>
      <c r="E184" s="4">
        <v>7.9</v>
      </c>
      <c r="F184" s="4">
        <v>224405</v>
      </c>
    </row>
    <row r="185" spans="1:6" x14ac:dyDescent="0.25">
      <c r="A185" s="1">
        <v>45735</v>
      </c>
      <c r="B185" s="4">
        <v>7.82</v>
      </c>
      <c r="C185" s="4">
        <v>7.83</v>
      </c>
      <c r="D185" s="4">
        <v>7.35</v>
      </c>
      <c r="E185" s="4">
        <v>7.49</v>
      </c>
      <c r="F185" s="4">
        <v>189050</v>
      </c>
    </row>
    <row r="186" spans="1:6" x14ac:dyDescent="0.25">
      <c r="A186" s="1">
        <v>45736</v>
      </c>
      <c r="B186" s="4">
        <v>7.55</v>
      </c>
      <c r="C186" s="4">
        <v>7.61</v>
      </c>
      <c r="D186" s="4">
        <v>7.45</v>
      </c>
      <c r="E186" s="4">
        <v>7.5</v>
      </c>
      <c r="F186" s="4">
        <v>144850</v>
      </c>
    </row>
    <row r="187" spans="1:6" x14ac:dyDescent="0.25">
      <c r="A187" s="1">
        <v>45737</v>
      </c>
      <c r="B187" s="4">
        <v>7.58</v>
      </c>
      <c r="C187" s="4">
        <v>7.6749999999999998</v>
      </c>
      <c r="D187" s="4">
        <v>7.49</v>
      </c>
      <c r="E187" s="4">
        <v>7.53</v>
      </c>
      <c r="F187" s="4">
        <v>272251</v>
      </c>
    </row>
    <row r="188" spans="1:6" x14ac:dyDescent="0.25">
      <c r="A188" s="1">
        <v>45740</v>
      </c>
      <c r="B188" s="4">
        <v>7.51</v>
      </c>
      <c r="C188" s="4">
        <v>7.74</v>
      </c>
      <c r="D188" s="4">
        <v>7.49</v>
      </c>
      <c r="E188" s="4">
        <v>7.59</v>
      </c>
      <c r="F188" s="4">
        <v>66898</v>
      </c>
    </row>
    <row r="189" spans="1:6" x14ac:dyDescent="0.25">
      <c r="A189" s="1">
        <v>45741</v>
      </c>
      <c r="B189" s="4">
        <v>7.7</v>
      </c>
      <c r="C189" s="4">
        <v>7.95</v>
      </c>
      <c r="D189" s="4">
        <v>7.64</v>
      </c>
      <c r="E189" s="4">
        <v>7.95</v>
      </c>
      <c r="F189" s="4">
        <v>105620</v>
      </c>
    </row>
    <row r="190" spans="1:6" x14ac:dyDescent="0.25">
      <c r="A190" s="1">
        <v>45742</v>
      </c>
      <c r="B190" s="4">
        <v>8.0399999999999991</v>
      </c>
      <c r="C190" s="4">
        <v>8.2200000000000006</v>
      </c>
      <c r="D190" s="4">
        <v>7.95</v>
      </c>
      <c r="E190" s="4">
        <v>8.0399999999999991</v>
      </c>
      <c r="F190" s="4">
        <v>184687</v>
      </c>
    </row>
    <row r="191" spans="1:6" x14ac:dyDescent="0.25">
      <c r="A191" s="1">
        <v>45743</v>
      </c>
      <c r="B191" s="4">
        <v>8.0500000000000007</v>
      </c>
      <c r="C191" s="4">
        <v>8.06</v>
      </c>
      <c r="D191" s="4">
        <v>7.86</v>
      </c>
      <c r="E191" s="4">
        <v>8</v>
      </c>
      <c r="F191" s="4">
        <v>53941</v>
      </c>
    </row>
    <row r="192" spans="1:6" x14ac:dyDescent="0.25">
      <c r="A192" s="1">
        <v>45744</v>
      </c>
      <c r="B192" s="4">
        <v>7.6</v>
      </c>
      <c r="C192" s="4">
        <v>8.1349999999999998</v>
      </c>
      <c r="D192" s="4">
        <v>7.6</v>
      </c>
      <c r="E192" s="4">
        <v>8.1199999999999992</v>
      </c>
      <c r="F192" s="4">
        <v>65492</v>
      </c>
    </row>
    <row r="193" spans="1:6" x14ac:dyDescent="0.25">
      <c r="A193" s="1">
        <v>45747</v>
      </c>
      <c r="B193" s="4">
        <v>8.0500000000000007</v>
      </c>
      <c r="C193" s="4">
        <v>8.08</v>
      </c>
      <c r="D193" s="4">
        <v>7.51</v>
      </c>
      <c r="E193" s="4">
        <v>7.72</v>
      </c>
      <c r="F193" s="4">
        <v>97850</v>
      </c>
    </row>
    <row r="194" spans="1:6" x14ac:dyDescent="0.25">
      <c r="A194" s="1">
        <v>45748</v>
      </c>
      <c r="B194" s="4">
        <v>7.51</v>
      </c>
      <c r="C194" s="4">
        <v>7.6950000000000003</v>
      </c>
      <c r="D194" s="4">
        <v>7.45</v>
      </c>
      <c r="E194" s="4">
        <v>7.46</v>
      </c>
      <c r="F194" s="4">
        <v>87962</v>
      </c>
    </row>
    <row r="195" spans="1:6" x14ac:dyDescent="0.25">
      <c r="A195" s="1">
        <v>45749</v>
      </c>
      <c r="B195" s="4">
        <v>7.55</v>
      </c>
      <c r="C195" s="4">
        <v>7.55</v>
      </c>
      <c r="D195" s="4">
        <v>7.34</v>
      </c>
      <c r="E195" s="4">
        <v>7.4</v>
      </c>
      <c r="F195" s="4">
        <v>102884</v>
      </c>
    </row>
    <row r="196" spans="1:6" x14ac:dyDescent="0.25">
      <c r="A196" s="1">
        <v>45750</v>
      </c>
      <c r="B196" s="4">
        <v>7.4</v>
      </c>
      <c r="C196" s="4">
        <v>7.57</v>
      </c>
      <c r="D196" s="4">
        <v>7.21</v>
      </c>
      <c r="E196" s="4">
        <v>7.53</v>
      </c>
      <c r="F196" s="4">
        <v>64831</v>
      </c>
    </row>
    <row r="197" spans="1:6" x14ac:dyDescent="0.25">
      <c r="A197" s="1">
        <v>45751</v>
      </c>
      <c r="B197" s="4">
        <v>7.39</v>
      </c>
      <c r="C197" s="4">
        <v>7.51</v>
      </c>
      <c r="D197" s="4">
        <v>7.03</v>
      </c>
      <c r="E197" s="4">
        <v>7.2</v>
      </c>
      <c r="F197" s="4">
        <v>107518</v>
      </c>
    </row>
    <row r="198" spans="1:6" x14ac:dyDescent="0.25">
      <c r="A198" s="1">
        <v>45754</v>
      </c>
      <c r="B198" s="4">
        <v>6.7</v>
      </c>
      <c r="C198" s="4">
        <v>7</v>
      </c>
      <c r="D198" s="4">
        <v>6.58</v>
      </c>
      <c r="E198" s="4">
        <v>6.95</v>
      </c>
      <c r="F198" s="4">
        <v>175385</v>
      </c>
    </row>
    <row r="199" spans="1:6" x14ac:dyDescent="0.25">
      <c r="A199" s="1">
        <v>45755</v>
      </c>
      <c r="B199" s="4">
        <v>6.91</v>
      </c>
      <c r="C199" s="4">
        <v>7.12</v>
      </c>
      <c r="D199" s="4">
        <v>6.84</v>
      </c>
      <c r="E199" s="4">
        <v>6.91</v>
      </c>
      <c r="F199" s="4">
        <v>207524</v>
      </c>
    </row>
    <row r="200" spans="1:6" x14ac:dyDescent="0.25">
      <c r="A200" s="1">
        <v>45756</v>
      </c>
      <c r="B200" s="4">
        <v>6.91</v>
      </c>
      <c r="C200" s="4">
        <v>6.99</v>
      </c>
      <c r="D200" s="4">
        <v>6.74</v>
      </c>
      <c r="E200" s="4">
        <v>6.86</v>
      </c>
      <c r="F200" s="4">
        <v>78112</v>
      </c>
    </row>
    <row r="201" spans="1:6" x14ac:dyDescent="0.25">
      <c r="A201" s="1">
        <v>45757</v>
      </c>
      <c r="B201" s="4">
        <v>7.15</v>
      </c>
      <c r="C201" s="4">
        <v>7.5</v>
      </c>
      <c r="D201" s="4">
        <v>7.15</v>
      </c>
      <c r="E201" s="4">
        <v>7.45</v>
      </c>
      <c r="F201" s="4">
        <v>171903</v>
      </c>
    </row>
    <row r="202" spans="1:6" x14ac:dyDescent="0.25">
      <c r="A202" s="1">
        <v>45758</v>
      </c>
      <c r="B202" s="4">
        <v>7.41</v>
      </c>
      <c r="C202" s="4">
        <v>7.41</v>
      </c>
      <c r="D202" s="4">
        <v>7.14</v>
      </c>
      <c r="E202" s="4">
        <v>7.2</v>
      </c>
      <c r="F202" s="4">
        <v>67609</v>
      </c>
    </row>
    <row r="203" spans="1:6" x14ac:dyDescent="0.25">
      <c r="A203" s="1">
        <v>45761</v>
      </c>
      <c r="B203" s="4">
        <v>7.25</v>
      </c>
      <c r="C203" s="4">
        <v>7.5</v>
      </c>
      <c r="D203" s="4">
        <v>7.19</v>
      </c>
      <c r="E203" s="4">
        <v>7.34</v>
      </c>
      <c r="F203" s="4">
        <v>108996</v>
      </c>
    </row>
    <row r="204" spans="1:6" x14ac:dyDescent="0.25">
      <c r="A204" s="1">
        <v>45762</v>
      </c>
      <c r="B204" s="4">
        <v>7.33</v>
      </c>
      <c r="C204" s="4">
        <v>7.54</v>
      </c>
      <c r="D204" s="4">
        <v>7.33</v>
      </c>
      <c r="E204" s="4">
        <v>7.46</v>
      </c>
      <c r="F204" s="4">
        <v>68126</v>
      </c>
    </row>
    <row r="205" spans="1:6" x14ac:dyDescent="0.25">
      <c r="A205" s="1">
        <v>45763</v>
      </c>
      <c r="B205" s="4">
        <v>7.55</v>
      </c>
      <c r="C205" s="4">
        <v>7.56</v>
      </c>
      <c r="D205" s="4">
        <v>7.28</v>
      </c>
      <c r="E205" s="4">
        <v>7.5</v>
      </c>
      <c r="F205" s="4">
        <v>70451</v>
      </c>
    </row>
    <row r="206" spans="1:6" x14ac:dyDescent="0.25">
      <c r="A206" s="1">
        <v>45764</v>
      </c>
      <c r="B206" s="4">
        <v>7.53</v>
      </c>
      <c r="C206" s="4">
        <v>7.67</v>
      </c>
      <c r="D206" s="4">
        <v>7.32</v>
      </c>
      <c r="E206" s="4">
        <v>7.45</v>
      </c>
      <c r="F206" s="4">
        <v>42383</v>
      </c>
    </row>
    <row r="207" spans="1:6" x14ac:dyDescent="0.25">
      <c r="A207" s="1">
        <v>45769</v>
      </c>
      <c r="B207" s="4">
        <v>7.45</v>
      </c>
      <c r="C207" s="4">
        <v>7.51</v>
      </c>
      <c r="D207" s="4">
        <v>7.3</v>
      </c>
      <c r="E207" s="4">
        <v>7.34</v>
      </c>
      <c r="F207" s="4">
        <v>29600</v>
      </c>
    </row>
    <row r="208" spans="1:6" x14ac:dyDescent="0.25">
      <c r="A208" s="1">
        <v>45770</v>
      </c>
      <c r="B208" s="4">
        <v>7.38</v>
      </c>
      <c r="C208" s="4">
        <v>8</v>
      </c>
      <c r="D208" s="4">
        <v>7.38</v>
      </c>
      <c r="E208" s="4">
        <v>7.76</v>
      </c>
      <c r="F208" s="4">
        <v>52082</v>
      </c>
    </row>
    <row r="209" spans="1:6" x14ac:dyDescent="0.25">
      <c r="A209" s="1">
        <v>45771</v>
      </c>
      <c r="B209" s="4">
        <v>7.76</v>
      </c>
      <c r="C209" s="4">
        <v>7.86</v>
      </c>
      <c r="D209" s="4">
        <v>7.55</v>
      </c>
      <c r="E209" s="4">
        <v>7.65</v>
      </c>
      <c r="F209" s="4">
        <v>69125</v>
      </c>
    </row>
    <row r="210" spans="1:6" x14ac:dyDescent="0.25">
      <c r="A210" s="1">
        <v>45775</v>
      </c>
      <c r="B210" s="4">
        <v>7.88</v>
      </c>
      <c r="C210" s="4">
        <v>7.88</v>
      </c>
      <c r="D210" s="4">
        <v>7.5</v>
      </c>
      <c r="E210" s="4">
        <v>7.65</v>
      </c>
      <c r="F210" s="4">
        <v>66116</v>
      </c>
    </row>
    <row r="211" spans="1:6" x14ac:dyDescent="0.25">
      <c r="A211" s="1">
        <v>45776</v>
      </c>
      <c r="B211" s="4">
        <v>7.73</v>
      </c>
      <c r="C211" s="4">
        <v>7.87</v>
      </c>
      <c r="D211" s="4">
        <v>7.65</v>
      </c>
      <c r="E211" s="4">
        <v>7.87</v>
      </c>
      <c r="F211" s="4">
        <v>35407</v>
      </c>
    </row>
    <row r="212" spans="1:6" x14ac:dyDescent="0.25">
      <c r="A212" s="1">
        <v>45777</v>
      </c>
      <c r="B212" s="4">
        <v>8.0299999999999994</v>
      </c>
      <c r="C212" s="4">
        <v>8.0299999999999994</v>
      </c>
      <c r="D212" s="4">
        <v>7.65</v>
      </c>
      <c r="E212" s="4">
        <v>7.74</v>
      </c>
      <c r="F212" s="4">
        <v>31632</v>
      </c>
    </row>
    <row r="213" spans="1:6" x14ac:dyDescent="0.25">
      <c r="A213" s="1">
        <v>45778</v>
      </c>
      <c r="B213" s="4">
        <v>7.85</v>
      </c>
      <c r="C213" s="4">
        <v>7.95</v>
      </c>
      <c r="D213" s="4">
        <v>7.65</v>
      </c>
      <c r="E213" s="4">
        <v>7.65</v>
      </c>
      <c r="F213" s="4">
        <v>35610</v>
      </c>
    </row>
    <row r="214" spans="1:6" x14ac:dyDescent="0.25">
      <c r="A214" s="1">
        <v>45779</v>
      </c>
      <c r="B214" s="4">
        <v>7.66</v>
      </c>
      <c r="C214" s="4">
        <v>7.91</v>
      </c>
      <c r="D214" s="4">
        <v>7.63</v>
      </c>
      <c r="E214" s="4">
        <v>7.81</v>
      </c>
      <c r="F214" s="4">
        <v>31287</v>
      </c>
    </row>
    <row r="215" spans="1:6" x14ac:dyDescent="0.25">
      <c r="A215" s="1">
        <v>45782</v>
      </c>
      <c r="B215" s="4">
        <v>7.88</v>
      </c>
      <c r="C215" s="4">
        <v>7.95</v>
      </c>
      <c r="D215" s="4">
        <v>7.65</v>
      </c>
      <c r="E215" s="4">
        <v>7.67</v>
      </c>
      <c r="F215" s="4">
        <v>19866</v>
      </c>
    </row>
    <row r="216" spans="1:6" x14ac:dyDescent="0.25">
      <c r="A216" s="1">
        <v>45783</v>
      </c>
      <c r="B216" s="4">
        <v>7.63</v>
      </c>
      <c r="C216" s="4">
        <v>7.91</v>
      </c>
      <c r="D216" s="4">
        <v>7.53</v>
      </c>
      <c r="E216" s="4">
        <v>7.79</v>
      </c>
      <c r="F216" s="4">
        <v>35654</v>
      </c>
    </row>
    <row r="217" spans="1:6" x14ac:dyDescent="0.25">
      <c r="A217" s="1">
        <v>45784</v>
      </c>
      <c r="B217" s="4">
        <v>7.83</v>
      </c>
      <c r="C217" s="4">
        <v>7.94</v>
      </c>
      <c r="D217" s="4">
        <v>7.58</v>
      </c>
      <c r="E217" s="4">
        <v>7.86</v>
      </c>
      <c r="F217" s="4">
        <v>25224</v>
      </c>
    </row>
    <row r="218" spans="1:6" x14ac:dyDescent="0.25">
      <c r="A218" s="1">
        <v>45785</v>
      </c>
      <c r="B218" s="4">
        <v>7.92</v>
      </c>
      <c r="C218" s="4">
        <v>7.92</v>
      </c>
      <c r="D218" s="4">
        <v>7.7649999999999997</v>
      </c>
      <c r="E218" s="4">
        <v>7.9</v>
      </c>
      <c r="F218" s="4">
        <v>13771</v>
      </c>
    </row>
    <row r="219" spans="1:6" x14ac:dyDescent="0.25">
      <c r="A219" s="1">
        <v>45786</v>
      </c>
      <c r="B219" s="4">
        <v>7.9349999999999996</v>
      </c>
      <c r="C219" s="4">
        <v>8.01</v>
      </c>
      <c r="D219" s="4">
        <v>7.78</v>
      </c>
      <c r="E219" s="4">
        <v>7.94</v>
      </c>
      <c r="F219" s="4">
        <v>63629</v>
      </c>
    </row>
    <row r="220" spans="1:6" x14ac:dyDescent="0.25">
      <c r="A220" s="1">
        <v>45789</v>
      </c>
      <c r="B220" s="4">
        <v>7.98</v>
      </c>
      <c r="C220" s="4">
        <v>8.24</v>
      </c>
      <c r="D220" s="4">
        <v>7.98</v>
      </c>
      <c r="E220" s="4">
        <v>8.17</v>
      </c>
      <c r="F220" s="4">
        <v>172394</v>
      </c>
    </row>
    <row r="221" spans="1:6" x14ac:dyDescent="0.25">
      <c r="A221" s="1">
        <v>45790</v>
      </c>
      <c r="B221" s="4">
        <v>8.1999999999999993</v>
      </c>
      <c r="C221" s="4">
        <v>8.66</v>
      </c>
      <c r="D221" s="4">
        <v>8.1999999999999993</v>
      </c>
      <c r="E221" s="4">
        <v>8.64</v>
      </c>
      <c r="F221" s="4">
        <v>145923</v>
      </c>
    </row>
    <row r="222" spans="1:6" x14ac:dyDescent="0.25">
      <c r="A222" s="1">
        <v>45791</v>
      </c>
      <c r="B222" s="4">
        <v>8.7200000000000006</v>
      </c>
      <c r="C222" s="4">
        <v>8.73</v>
      </c>
      <c r="D222" s="4">
        <v>8.23</v>
      </c>
      <c r="E222" s="4">
        <v>8.2899999999999991</v>
      </c>
      <c r="F222" s="4">
        <v>113723</v>
      </c>
    </row>
    <row r="223" spans="1:6" x14ac:dyDescent="0.25">
      <c r="A223" s="1">
        <v>45792</v>
      </c>
      <c r="B223" s="4">
        <v>8</v>
      </c>
      <c r="C223" s="4">
        <v>8.58</v>
      </c>
      <c r="D223" s="4">
        <v>8</v>
      </c>
      <c r="E223" s="4">
        <v>8.4</v>
      </c>
      <c r="F223" s="4">
        <v>64006</v>
      </c>
    </row>
    <row r="224" spans="1:6" x14ac:dyDescent="0.25">
      <c r="A224" s="1">
        <v>45793</v>
      </c>
      <c r="B224" s="4">
        <v>8.41</v>
      </c>
      <c r="C224" s="4">
        <v>8.42</v>
      </c>
      <c r="D224" s="4">
        <v>8.27</v>
      </c>
      <c r="E224" s="4">
        <v>8.35</v>
      </c>
      <c r="F224" s="4">
        <v>39852</v>
      </c>
    </row>
    <row r="225" spans="1:6" x14ac:dyDescent="0.25">
      <c r="A225" s="1">
        <v>45796</v>
      </c>
      <c r="B225" s="4">
        <v>8.3000000000000007</v>
      </c>
      <c r="C225" s="4">
        <v>8.3000000000000007</v>
      </c>
      <c r="D225" s="4">
        <v>8.14</v>
      </c>
      <c r="E225" s="4">
        <v>8.16</v>
      </c>
      <c r="F225" s="4">
        <v>47065</v>
      </c>
    </row>
    <row r="226" spans="1:6" x14ac:dyDescent="0.25">
      <c r="A226" s="1">
        <v>45797</v>
      </c>
      <c r="B226" s="4">
        <v>8.2349999999999994</v>
      </c>
      <c r="C226" s="4">
        <v>8.2799999999999994</v>
      </c>
      <c r="D226" s="4">
        <v>8.1</v>
      </c>
      <c r="E226" s="4">
        <v>8.18</v>
      </c>
      <c r="F226" s="4">
        <v>221916</v>
      </c>
    </row>
    <row r="227" spans="1:6" x14ac:dyDescent="0.25">
      <c r="A227" s="1">
        <v>45798</v>
      </c>
      <c r="B227" s="4">
        <v>8.19</v>
      </c>
      <c r="C227" s="4">
        <v>8.24</v>
      </c>
      <c r="D227" s="4">
        <v>7.65</v>
      </c>
      <c r="E227" s="4">
        <v>7.71</v>
      </c>
      <c r="F227" s="4">
        <v>151139</v>
      </c>
    </row>
    <row r="228" spans="1:6" x14ac:dyDescent="0.25">
      <c r="A228" s="1">
        <v>45799</v>
      </c>
      <c r="B228" s="4">
        <v>7.74</v>
      </c>
      <c r="C228" s="4">
        <v>7.74</v>
      </c>
      <c r="D228" s="4">
        <v>7.53</v>
      </c>
      <c r="E228" s="4">
        <v>7.61</v>
      </c>
      <c r="F228" s="4">
        <v>190894</v>
      </c>
    </row>
    <row r="229" spans="1:6" x14ac:dyDescent="0.25">
      <c r="A229" s="1">
        <v>45800</v>
      </c>
      <c r="B229" s="4">
        <v>7.66</v>
      </c>
      <c r="C229" s="4">
        <v>7.7</v>
      </c>
      <c r="D229" s="4">
        <v>7.6</v>
      </c>
      <c r="E229" s="4">
        <v>7.65</v>
      </c>
      <c r="F229" s="4">
        <v>77984</v>
      </c>
    </row>
    <row r="230" spans="1:6" x14ac:dyDescent="0.25">
      <c r="A230" s="1">
        <v>45803</v>
      </c>
      <c r="B230" s="4">
        <v>7.6</v>
      </c>
      <c r="C230" s="4">
        <v>7.84</v>
      </c>
      <c r="D230" s="4">
        <v>7.06</v>
      </c>
      <c r="E230" s="4">
        <v>7.42</v>
      </c>
      <c r="F230" s="4">
        <v>252050</v>
      </c>
    </row>
    <row r="231" spans="1:6" x14ac:dyDescent="0.25">
      <c r="A231" s="1">
        <v>45804</v>
      </c>
      <c r="B231" s="4">
        <v>7.38</v>
      </c>
      <c r="C231" s="4">
        <v>7.49</v>
      </c>
      <c r="D231" s="4">
        <v>7.1</v>
      </c>
      <c r="E231" s="4">
        <v>7.28</v>
      </c>
      <c r="F231" s="4">
        <v>164108</v>
      </c>
    </row>
    <row r="232" spans="1:6" x14ac:dyDescent="0.25">
      <c r="A232" s="1">
        <v>45805</v>
      </c>
      <c r="B232" s="4">
        <v>7.3</v>
      </c>
      <c r="C232" s="4">
        <v>7.5</v>
      </c>
      <c r="D232" s="4">
        <v>7.24</v>
      </c>
      <c r="E232" s="4">
        <v>7.49</v>
      </c>
      <c r="F232" s="4">
        <v>148067</v>
      </c>
    </row>
    <row r="233" spans="1:6" x14ac:dyDescent="0.25">
      <c r="A233" s="1">
        <v>45806</v>
      </c>
      <c r="B233" s="4">
        <v>7.49</v>
      </c>
      <c r="C233" s="4">
        <v>7.68</v>
      </c>
      <c r="D233" s="4">
        <v>7.25</v>
      </c>
      <c r="E233" s="4">
        <v>7.51</v>
      </c>
      <c r="F233" s="4">
        <v>80993</v>
      </c>
    </row>
    <row r="234" spans="1:6" x14ac:dyDescent="0.25">
      <c r="A234" s="1">
        <v>45807</v>
      </c>
      <c r="B234" s="4">
        <v>7.52</v>
      </c>
      <c r="C234" s="4">
        <v>7.94</v>
      </c>
      <c r="D234" s="4">
        <v>7.37</v>
      </c>
      <c r="E234" s="4">
        <v>7.77</v>
      </c>
      <c r="F234" s="4">
        <v>182620</v>
      </c>
    </row>
    <row r="235" spans="1:6" x14ac:dyDescent="0.25">
      <c r="A235" s="1">
        <v>45810</v>
      </c>
      <c r="B235" s="4">
        <v>7.82</v>
      </c>
      <c r="C235" s="4">
        <v>7.96</v>
      </c>
      <c r="D235" s="4">
        <v>7.51</v>
      </c>
      <c r="E235" s="4">
        <v>7.58</v>
      </c>
      <c r="F235" s="4">
        <v>75872</v>
      </c>
    </row>
    <row r="236" spans="1:6" x14ac:dyDescent="0.25">
      <c r="A236" s="1">
        <v>45811</v>
      </c>
      <c r="B236" s="4">
        <v>7.58</v>
      </c>
      <c r="C236" s="4">
        <v>7.73</v>
      </c>
      <c r="D236" s="4">
        <v>7.49</v>
      </c>
      <c r="E236" s="4">
        <v>7.6</v>
      </c>
      <c r="F236" s="4">
        <v>72783</v>
      </c>
    </row>
    <row r="237" spans="1:6" x14ac:dyDescent="0.25">
      <c r="A237" s="1">
        <v>45812</v>
      </c>
      <c r="B237" s="4">
        <v>7.81</v>
      </c>
      <c r="C237" s="4">
        <v>7.93</v>
      </c>
      <c r="D237" s="4">
        <v>7.61</v>
      </c>
      <c r="E237" s="4">
        <v>7.88</v>
      </c>
      <c r="F237" s="4">
        <v>139458</v>
      </c>
    </row>
    <row r="238" spans="1:6" x14ac:dyDescent="0.25">
      <c r="A238" s="1">
        <v>45813</v>
      </c>
      <c r="B238" s="4">
        <v>7.88</v>
      </c>
      <c r="C238" s="4">
        <v>7.97</v>
      </c>
      <c r="D238" s="4">
        <v>7.8</v>
      </c>
      <c r="E238" s="4">
        <v>7.85</v>
      </c>
      <c r="F238" s="4">
        <v>54192</v>
      </c>
    </row>
    <row r="239" spans="1:6" x14ac:dyDescent="0.25">
      <c r="A239" s="1">
        <v>45814</v>
      </c>
      <c r="B239" s="4">
        <v>7.8</v>
      </c>
      <c r="C239" s="4">
        <v>7.98</v>
      </c>
      <c r="D239" s="4">
        <v>7.8</v>
      </c>
      <c r="E239" s="4">
        <v>7.85</v>
      </c>
      <c r="F239" s="4">
        <v>66534</v>
      </c>
    </row>
    <row r="240" spans="1:6" x14ac:dyDescent="0.25">
      <c r="A240" s="1">
        <v>45818</v>
      </c>
      <c r="B240" s="4">
        <v>7.97</v>
      </c>
      <c r="C240" s="4">
        <v>7.97</v>
      </c>
      <c r="D240" s="4">
        <v>7.72</v>
      </c>
      <c r="E240" s="4">
        <v>7.84</v>
      </c>
      <c r="F240" s="4">
        <v>241384</v>
      </c>
    </row>
    <row r="241" spans="1:6" x14ac:dyDescent="0.25">
      <c r="A241" s="1">
        <v>45819</v>
      </c>
      <c r="B241" s="4">
        <v>7.84</v>
      </c>
      <c r="C241" s="4">
        <v>7.86</v>
      </c>
      <c r="D241" s="4">
        <v>7.7350000000000003</v>
      </c>
      <c r="E241" s="4">
        <v>7.76</v>
      </c>
      <c r="F241" s="4">
        <v>24608</v>
      </c>
    </row>
    <row r="242" spans="1:6" x14ac:dyDescent="0.25">
      <c r="A242" s="1">
        <v>45820</v>
      </c>
      <c r="B242" s="4">
        <v>7.8</v>
      </c>
      <c r="C242" s="4">
        <v>7.8</v>
      </c>
      <c r="D242" s="4">
        <v>7.58</v>
      </c>
      <c r="E242" s="4">
        <v>7.58</v>
      </c>
      <c r="F242" s="4">
        <v>19499</v>
      </c>
    </row>
    <row r="243" spans="1:6" x14ac:dyDescent="0.25">
      <c r="A243" s="1">
        <v>45821</v>
      </c>
      <c r="B243" s="4">
        <v>7.59</v>
      </c>
      <c r="C243" s="4">
        <v>7.59</v>
      </c>
      <c r="D243" s="4">
        <v>7.16</v>
      </c>
      <c r="E243" s="4">
        <v>7.4</v>
      </c>
      <c r="F243" s="4">
        <v>248110</v>
      </c>
    </row>
    <row r="244" spans="1:6" x14ac:dyDescent="0.25">
      <c r="A244" s="1">
        <v>45824</v>
      </c>
      <c r="B244" s="4">
        <v>7.4</v>
      </c>
      <c r="C244" s="4">
        <v>7.54</v>
      </c>
      <c r="D244" s="4">
        <v>7.32</v>
      </c>
      <c r="E244" s="4">
        <v>7.46</v>
      </c>
      <c r="F244" s="4">
        <v>86586</v>
      </c>
    </row>
    <row r="245" spans="1:6" x14ac:dyDescent="0.25">
      <c r="A245" s="1">
        <v>45825</v>
      </c>
      <c r="B245" s="4">
        <v>7.47</v>
      </c>
      <c r="C245" s="4">
        <v>7.78</v>
      </c>
      <c r="D245" s="4">
        <v>7.46</v>
      </c>
      <c r="E245" s="4">
        <v>7.78</v>
      </c>
      <c r="F245" s="4">
        <v>91706</v>
      </c>
    </row>
    <row r="246" spans="1:6" x14ac:dyDescent="0.25">
      <c r="A246" s="1">
        <v>45826</v>
      </c>
      <c r="B246" s="4">
        <v>7.8</v>
      </c>
      <c r="C246" s="4">
        <v>7.81</v>
      </c>
      <c r="D246" s="4">
        <v>7.4</v>
      </c>
      <c r="E246" s="4">
        <v>7.59</v>
      </c>
      <c r="F246" s="4">
        <v>229202</v>
      </c>
    </row>
    <row r="247" spans="1:6" x14ac:dyDescent="0.25">
      <c r="A247" s="1">
        <v>45827</v>
      </c>
      <c r="B247" s="4">
        <v>7.6</v>
      </c>
      <c r="C247" s="4">
        <v>7.6</v>
      </c>
      <c r="D247" s="4">
        <v>7.36</v>
      </c>
      <c r="E247" s="4">
        <v>7.43</v>
      </c>
      <c r="F247" s="4">
        <v>115249</v>
      </c>
    </row>
    <row r="248" spans="1:6" x14ac:dyDescent="0.25">
      <c r="A248" s="1">
        <v>45828</v>
      </c>
      <c r="B248" s="4">
        <v>7.43</v>
      </c>
      <c r="C248" s="4">
        <v>7.43</v>
      </c>
      <c r="D248" s="4">
        <v>7.3</v>
      </c>
      <c r="E248" s="4">
        <v>7.38</v>
      </c>
      <c r="F248" s="4">
        <v>76733</v>
      </c>
    </row>
    <row r="249" spans="1:6" x14ac:dyDescent="0.25">
      <c r="A249" s="1">
        <v>45831</v>
      </c>
      <c r="B249" s="4">
        <v>7.36</v>
      </c>
      <c r="C249" s="4">
        <v>7.42</v>
      </c>
      <c r="D249" s="4">
        <v>7.1</v>
      </c>
      <c r="E249" s="4">
        <v>7.36</v>
      </c>
      <c r="F249" s="4">
        <v>165078</v>
      </c>
    </row>
    <row r="250" spans="1:6" x14ac:dyDescent="0.25">
      <c r="A250" s="1">
        <v>45832</v>
      </c>
      <c r="B250" s="4">
        <v>7.3</v>
      </c>
      <c r="C250" s="4">
        <v>7.45</v>
      </c>
      <c r="D250" s="4">
        <v>7.21</v>
      </c>
      <c r="E250" s="4">
        <v>7.27</v>
      </c>
      <c r="F250" s="4">
        <v>102786</v>
      </c>
    </row>
    <row r="251" spans="1:6" x14ac:dyDescent="0.25">
      <c r="A251" s="1">
        <v>45833</v>
      </c>
      <c r="B251" s="4">
        <v>7.28</v>
      </c>
      <c r="C251" s="4">
        <v>7.44</v>
      </c>
      <c r="D251" s="4">
        <v>7.23</v>
      </c>
      <c r="E251" s="4">
        <v>7.35</v>
      </c>
      <c r="F251" s="4">
        <v>137892</v>
      </c>
    </row>
    <row r="252" spans="1:6" x14ac:dyDescent="0.25">
      <c r="A252" s="1">
        <v>45834</v>
      </c>
      <c r="B252" s="4">
        <v>7.3</v>
      </c>
      <c r="C252" s="4">
        <v>7.51</v>
      </c>
      <c r="D252" s="4">
        <v>7.27</v>
      </c>
      <c r="E252" s="4">
        <v>7.44</v>
      </c>
      <c r="F252" s="4">
        <v>249001</v>
      </c>
    </row>
    <row r="253" spans="1:6" x14ac:dyDescent="0.25">
      <c r="A253" s="1">
        <v>45835</v>
      </c>
      <c r="B253" s="4">
        <v>7.36</v>
      </c>
      <c r="C253" s="4">
        <v>7.65</v>
      </c>
      <c r="D253" s="4">
        <v>7.33</v>
      </c>
      <c r="E253" s="4">
        <v>7.61</v>
      </c>
      <c r="F253" s="4">
        <v>177780</v>
      </c>
    </row>
    <row r="254" spans="1:6" x14ac:dyDescent="0.25">
      <c r="A254" s="1">
        <v>45838</v>
      </c>
      <c r="B254" s="4">
        <v>7.61</v>
      </c>
      <c r="C254" s="4">
        <v>7.8</v>
      </c>
      <c r="D254" s="4">
        <v>7.51</v>
      </c>
      <c r="E254" s="4">
        <v>7.78</v>
      </c>
      <c r="F254" s="4">
        <v>69540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4"/>
  <sheetViews>
    <sheetView zoomScale="40" zoomScaleNormal="40" workbookViewId="0">
      <selection activeCell="AG32" sqref="AG32"/>
    </sheetView>
  </sheetViews>
  <sheetFormatPr defaultRowHeight="13.2" x14ac:dyDescent="0.25"/>
  <cols>
    <col min="1" max="1" width="10.33203125" bestFit="1" customWidth="1"/>
    <col min="2" max="4" width="6.109375" bestFit="1" customWidth="1"/>
    <col min="5" max="5" width="5.554687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6" x14ac:dyDescent="0.25">
      <c r="A2" s="6">
        <v>45474</v>
      </c>
      <c r="B2">
        <v>4.95</v>
      </c>
      <c r="C2">
        <v>5.0199999999999996</v>
      </c>
      <c r="D2">
        <v>4.8499999999999996</v>
      </c>
      <c r="E2">
        <v>4.95</v>
      </c>
      <c r="F2" s="7"/>
    </row>
    <row r="3" spans="1:6" x14ac:dyDescent="0.25">
      <c r="A3" s="6">
        <v>45475</v>
      </c>
      <c r="B3">
        <v>4.9000000000000004</v>
      </c>
      <c r="C3">
        <v>4.9800000000000004</v>
      </c>
      <c r="D3">
        <v>4.88</v>
      </c>
      <c r="E3">
        <v>4.96</v>
      </c>
      <c r="F3" s="7"/>
    </row>
    <row r="4" spans="1:6" x14ac:dyDescent="0.25">
      <c r="A4" s="6">
        <v>45476</v>
      </c>
      <c r="B4">
        <v>4.95</v>
      </c>
      <c r="C4">
        <v>4.9800000000000004</v>
      </c>
      <c r="D4">
        <v>4.8099999999999996</v>
      </c>
      <c r="E4">
        <v>4.8099999999999996</v>
      </c>
      <c r="F4" s="7"/>
    </row>
    <row r="5" spans="1:6" x14ac:dyDescent="0.25">
      <c r="A5" s="6">
        <v>45477</v>
      </c>
      <c r="B5">
        <v>4.84</v>
      </c>
      <c r="C5">
        <v>4.9800000000000004</v>
      </c>
      <c r="D5">
        <v>4.83</v>
      </c>
      <c r="E5">
        <v>4.84</v>
      </c>
      <c r="F5" s="7"/>
    </row>
    <row r="6" spans="1:6" x14ac:dyDescent="0.25">
      <c r="A6" s="6">
        <v>45478</v>
      </c>
      <c r="B6">
        <v>4.8099999999999996</v>
      </c>
      <c r="C6">
        <v>4.8899999999999997</v>
      </c>
      <c r="D6">
        <v>4.8099999999999996</v>
      </c>
      <c r="E6">
        <v>4.82</v>
      </c>
      <c r="F6" s="7"/>
    </row>
    <row r="7" spans="1:6" x14ac:dyDescent="0.25">
      <c r="A7" s="6">
        <v>45481</v>
      </c>
      <c r="B7">
        <v>4.82</v>
      </c>
      <c r="C7">
        <v>4.99</v>
      </c>
      <c r="D7">
        <v>4.79</v>
      </c>
      <c r="E7">
        <v>4.8099999999999996</v>
      </c>
      <c r="F7" s="7"/>
    </row>
    <row r="8" spans="1:6" x14ac:dyDescent="0.25">
      <c r="A8" s="6">
        <v>45482</v>
      </c>
      <c r="B8">
        <v>4.9400000000000004</v>
      </c>
      <c r="C8">
        <v>4.9400000000000004</v>
      </c>
      <c r="D8">
        <v>4.84</v>
      </c>
      <c r="E8">
        <v>4.91</v>
      </c>
      <c r="F8" s="7"/>
    </row>
    <row r="9" spans="1:6" x14ac:dyDescent="0.25">
      <c r="A9" s="6">
        <v>45483</v>
      </c>
      <c r="B9">
        <v>4.9000000000000004</v>
      </c>
      <c r="C9">
        <v>4.92</v>
      </c>
      <c r="D9">
        <v>4.8099999999999996</v>
      </c>
      <c r="E9">
        <v>4.91</v>
      </c>
      <c r="F9" s="7"/>
    </row>
    <row r="10" spans="1:6" x14ac:dyDescent="0.25">
      <c r="A10" s="6">
        <v>45484</v>
      </c>
      <c r="B10">
        <v>4.92</v>
      </c>
      <c r="C10">
        <v>5.01</v>
      </c>
      <c r="D10">
        <v>4.92</v>
      </c>
      <c r="E10">
        <v>5</v>
      </c>
      <c r="F10" s="7"/>
    </row>
    <row r="11" spans="1:6" x14ac:dyDescent="0.25">
      <c r="A11" s="6">
        <v>45485</v>
      </c>
      <c r="B11">
        <v>4.99</v>
      </c>
      <c r="C11">
        <v>5.08</v>
      </c>
      <c r="D11">
        <v>4.99</v>
      </c>
      <c r="E11">
        <v>5.08</v>
      </c>
      <c r="F11" s="7"/>
    </row>
    <row r="12" spans="1:6" x14ac:dyDescent="0.25">
      <c r="A12" s="6">
        <v>45488</v>
      </c>
      <c r="B12">
        <v>5.05</v>
      </c>
      <c r="C12">
        <v>5.05</v>
      </c>
      <c r="D12">
        <v>4.91</v>
      </c>
      <c r="E12">
        <v>4.95</v>
      </c>
      <c r="F12" s="7"/>
    </row>
    <row r="13" spans="1:6" x14ac:dyDescent="0.25">
      <c r="A13" s="6">
        <v>45489</v>
      </c>
      <c r="B13">
        <v>5</v>
      </c>
      <c r="C13">
        <v>5.35</v>
      </c>
      <c r="D13">
        <v>5</v>
      </c>
      <c r="E13">
        <v>5.19</v>
      </c>
      <c r="F13" s="7"/>
    </row>
    <row r="14" spans="1:6" x14ac:dyDescent="0.25">
      <c r="A14" s="6">
        <v>45490</v>
      </c>
      <c r="B14">
        <v>5.25</v>
      </c>
      <c r="C14">
        <v>5.39</v>
      </c>
      <c r="D14">
        <v>5.22</v>
      </c>
      <c r="E14">
        <v>5.38</v>
      </c>
      <c r="F14" s="7"/>
    </row>
    <row r="15" spans="1:6" x14ac:dyDescent="0.25">
      <c r="A15" s="6">
        <v>45491</v>
      </c>
      <c r="B15">
        <v>5.36</v>
      </c>
      <c r="C15">
        <v>5.46</v>
      </c>
      <c r="D15">
        <v>5.23</v>
      </c>
      <c r="E15">
        <v>5.46</v>
      </c>
      <c r="F15" s="7"/>
    </row>
    <row r="16" spans="1:6" x14ac:dyDescent="0.25">
      <c r="A16" s="6">
        <v>45492</v>
      </c>
      <c r="B16">
        <v>5.55</v>
      </c>
      <c r="C16">
        <v>5.89</v>
      </c>
      <c r="D16">
        <v>5.55</v>
      </c>
      <c r="E16">
        <v>5.75</v>
      </c>
      <c r="F16" s="7"/>
    </row>
    <row r="17" spans="1:6" x14ac:dyDescent="0.25">
      <c r="A17" s="6">
        <v>45495</v>
      </c>
      <c r="B17">
        <v>5.79</v>
      </c>
      <c r="C17">
        <v>5.89</v>
      </c>
      <c r="D17">
        <v>5.7</v>
      </c>
      <c r="E17">
        <v>5.77</v>
      </c>
      <c r="F17" s="7"/>
    </row>
    <row r="18" spans="1:6" x14ac:dyDescent="0.25">
      <c r="A18" s="6">
        <v>45496</v>
      </c>
      <c r="B18">
        <v>5.85</v>
      </c>
      <c r="C18">
        <v>5.99</v>
      </c>
      <c r="D18">
        <v>5.85</v>
      </c>
      <c r="E18">
        <v>5.88</v>
      </c>
      <c r="F18" s="7"/>
    </row>
    <row r="19" spans="1:6" x14ac:dyDescent="0.25">
      <c r="A19" s="6">
        <v>45497</v>
      </c>
      <c r="B19">
        <v>5.92</v>
      </c>
      <c r="C19">
        <v>5.95</v>
      </c>
      <c r="D19">
        <v>5.86</v>
      </c>
      <c r="E19">
        <v>5.9</v>
      </c>
      <c r="F19" s="7"/>
    </row>
    <row r="20" spans="1:6" x14ac:dyDescent="0.25">
      <c r="A20" s="6">
        <v>45498</v>
      </c>
      <c r="B20">
        <v>5.85</v>
      </c>
      <c r="C20">
        <v>5.85</v>
      </c>
      <c r="D20">
        <v>5.74</v>
      </c>
      <c r="E20">
        <v>5.75</v>
      </c>
      <c r="F20" s="7"/>
    </row>
    <row r="21" spans="1:6" x14ac:dyDescent="0.25">
      <c r="A21" s="6">
        <v>45499</v>
      </c>
      <c r="B21">
        <v>5.72</v>
      </c>
      <c r="C21">
        <v>5.79</v>
      </c>
      <c r="D21">
        <v>5.65</v>
      </c>
      <c r="E21">
        <v>5.65</v>
      </c>
      <c r="F21" s="7"/>
    </row>
    <row r="22" spans="1:6" x14ac:dyDescent="0.25">
      <c r="A22" s="6">
        <v>45502</v>
      </c>
      <c r="B22">
        <v>5.79</v>
      </c>
      <c r="C22">
        <v>5.82</v>
      </c>
      <c r="D22">
        <v>5.75</v>
      </c>
      <c r="E22">
        <v>5.8</v>
      </c>
      <c r="F22" s="7"/>
    </row>
    <row r="23" spans="1:6" x14ac:dyDescent="0.25">
      <c r="A23" s="6">
        <v>45503</v>
      </c>
      <c r="B23">
        <v>5.8</v>
      </c>
      <c r="C23">
        <v>5.85</v>
      </c>
      <c r="D23">
        <v>5.71</v>
      </c>
      <c r="E23">
        <v>5.75</v>
      </c>
      <c r="F23" s="7"/>
    </row>
    <row r="24" spans="1:6" x14ac:dyDescent="0.25">
      <c r="A24" s="6">
        <v>45504</v>
      </c>
      <c r="B24">
        <v>5.82</v>
      </c>
      <c r="C24">
        <v>6.02</v>
      </c>
      <c r="D24">
        <v>5.77</v>
      </c>
      <c r="E24">
        <v>5.82</v>
      </c>
      <c r="F24" s="7"/>
    </row>
    <row r="25" spans="1:6" x14ac:dyDescent="0.25">
      <c r="A25" s="6">
        <v>45505</v>
      </c>
      <c r="B25">
        <v>6</v>
      </c>
      <c r="C25">
        <v>6.13</v>
      </c>
      <c r="D25">
        <v>5.98</v>
      </c>
      <c r="E25">
        <v>6.03</v>
      </c>
      <c r="F25" s="7"/>
    </row>
    <row r="26" spans="1:6" x14ac:dyDescent="0.25">
      <c r="A26" s="6">
        <v>45506</v>
      </c>
      <c r="B26">
        <v>5.98</v>
      </c>
      <c r="C26">
        <v>6</v>
      </c>
      <c r="D26">
        <v>5.82</v>
      </c>
      <c r="E26">
        <v>5.99</v>
      </c>
      <c r="F26" s="7"/>
    </row>
    <row r="27" spans="1:6" x14ac:dyDescent="0.25">
      <c r="A27" s="6">
        <v>45509</v>
      </c>
      <c r="B27">
        <v>5.9</v>
      </c>
      <c r="C27">
        <v>5.9</v>
      </c>
      <c r="D27">
        <v>5.65</v>
      </c>
      <c r="E27">
        <v>5.65</v>
      </c>
      <c r="F27" s="7"/>
    </row>
    <row r="28" spans="1:6" x14ac:dyDescent="0.25">
      <c r="A28" s="6">
        <v>45510</v>
      </c>
      <c r="B28">
        <v>5.65</v>
      </c>
      <c r="C28">
        <v>5.93</v>
      </c>
      <c r="D28">
        <v>5.65</v>
      </c>
      <c r="E28">
        <v>5.85</v>
      </c>
      <c r="F28" s="7"/>
    </row>
    <row r="29" spans="1:6" x14ac:dyDescent="0.25">
      <c r="A29" s="6">
        <v>45511</v>
      </c>
      <c r="B29">
        <v>5.84</v>
      </c>
      <c r="C29">
        <v>5.98</v>
      </c>
      <c r="D29">
        <v>5.84</v>
      </c>
      <c r="E29">
        <v>5.94</v>
      </c>
      <c r="F29" s="7"/>
    </row>
    <row r="30" spans="1:6" x14ac:dyDescent="0.25">
      <c r="A30" s="6">
        <v>45512</v>
      </c>
      <c r="B30">
        <v>5.93</v>
      </c>
      <c r="C30">
        <v>5.93</v>
      </c>
      <c r="D30">
        <v>5.82</v>
      </c>
      <c r="E30">
        <v>5.82</v>
      </c>
      <c r="F30" s="7"/>
    </row>
    <row r="31" spans="1:6" x14ac:dyDescent="0.25">
      <c r="A31" s="6">
        <v>45513</v>
      </c>
      <c r="B31">
        <v>5.82</v>
      </c>
      <c r="C31">
        <v>5.91</v>
      </c>
      <c r="D31">
        <v>5.82</v>
      </c>
      <c r="E31">
        <v>5.89</v>
      </c>
      <c r="F31" s="7"/>
    </row>
    <row r="32" spans="1:6" x14ac:dyDescent="0.25">
      <c r="A32" s="6">
        <v>45516</v>
      </c>
      <c r="B32">
        <v>5.85</v>
      </c>
      <c r="C32">
        <v>6.08</v>
      </c>
      <c r="D32">
        <v>5.85</v>
      </c>
      <c r="E32">
        <v>6.01</v>
      </c>
      <c r="F32" s="7"/>
    </row>
    <row r="33" spans="1:6" x14ac:dyDescent="0.25">
      <c r="A33" s="6">
        <v>45517</v>
      </c>
      <c r="B33">
        <v>6.05</v>
      </c>
      <c r="C33">
        <v>6.26</v>
      </c>
      <c r="D33">
        <v>6.05</v>
      </c>
      <c r="E33">
        <v>6.15</v>
      </c>
      <c r="F33" s="7"/>
    </row>
    <row r="34" spans="1:6" x14ac:dyDescent="0.25">
      <c r="A34" s="6">
        <v>45518</v>
      </c>
      <c r="B34">
        <v>6.18</v>
      </c>
      <c r="C34">
        <v>6.22</v>
      </c>
      <c r="D34">
        <v>6.04</v>
      </c>
      <c r="E34">
        <v>6.09</v>
      </c>
      <c r="F34" s="7"/>
    </row>
    <row r="35" spans="1:6" x14ac:dyDescent="0.25">
      <c r="A35" s="6">
        <v>45519</v>
      </c>
      <c r="B35">
        <v>6.13</v>
      </c>
      <c r="C35">
        <v>6.13</v>
      </c>
      <c r="D35">
        <v>6.05</v>
      </c>
      <c r="E35">
        <v>6.1</v>
      </c>
      <c r="F35" s="7"/>
    </row>
    <row r="36" spans="1:6" x14ac:dyDescent="0.25">
      <c r="A36" s="6">
        <v>45520</v>
      </c>
      <c r="B36">
        <v>6.09</v>
      </c>
      <c r="C36">
        <v>6.23</v>
      </c>
      <c r="D36">
        <v>6.04</v>
      </c>
      <c r="E36">
        <v>6.1</v>
      </c>
      <c r="F36" s="7"/>
    </row>
    <row r="37" spans="1:6" x14ac:dyDescent="0.25">
      <c r="A37" s="6">
        <v>45523</v>
      </c>
      <c r="B37">
        <v>6.21</v>
      </c>
      <c r="C37">
        <v>6.35</v>
      </c>
      <c r="D37">
        <v>6.07</v>
      </c>
      <c r="E37">
        <v>6.07</v>
      </c>
      <c r="F37" s="7"/>
    </row>
    <row r="38" spans="1:6" x14ac:dyDescent="0.25">
      <c r="A38" s="6">
        <v>45524</v>
      </c>
      <c r="B38">
        <v>6.08</v>
      </c>
      <c r="C38">
        <v>6.48</v>
      </c>
      <c r="D38">
        <v>6.08</v>
      </c>
      <c r="E38">
        <v>6.42</v>
      </c>
      <c r="F38" s="7"/>
    </row>
    <row r="39" spans="1:6" x14ac:dyDescent="0.25">
      <c r="A39" s="6">
        <v>45525</v>
      </c>
      <c r="B39">
        <v>6.4</v>
      </c>
      <c r="C39">
        <v>6.4</v>
      </c>
      <c r="D39">
        <v>6.3049999999999997</v>
      </c>
      <c r="E39">
        <v>6.34</v>
      </c>
      <c r="F39" s="7"/>
    </row>
    <row r="40" spans="1:6" x14ac:dyDescent="0.25">
      <c r="A40" s="6">
        <v>45526</v>
      </c>
      <c r="B40">
        <v>6.71</v>
      </c>
      <c r="C40">
        <v>7.99</v>
      </c>
      <c r="D40">
        <v>6.71</v>
      </c>
      <c r="E40">
        <v>7.05</v>
      </c>
      <c r="F40" s="7"/>
    </row>
    <row r="41" spans="1:6" x14ac:dyDescent="0.25">
      <c r="A41" s="6">
        <v>45527</v>
      </c>
      <c r="B41">
        <v>7.1</v>
      </c>
      <c r="C41">
        <v>7.3</v>
      </c>
      <c r="D41">
        <v>6.88</v>
      </c>
      <c r="E41">
        <v>6.88</v>
      </c>
      <c r="F41" s="7"/>
    </row>
    <row r="42" spans="1:6" x14ac:dyDescent="0.25">
      <c r="A42" s="6">
        <v>45530</v>
      </c>
      <c r="B42">
        <v>7.03</v>
      </c>
      <c r="C42">
        <v>7.05</v>
      </c>
      <c r="D42">
        <v>6.92</v>
      </c>
      <c r="E42">
        <v>7</v>
      </c>
      <c r="F42" s="7"/>
    </row>
    <row r="43" spans="1:6" x14ac:dyDescent="0.25">
      <c r="A43" s="6">
        <v>45531</v>
      </c>
      <c r="B43">
        <v>7.01</v>
      </c>
      <c r="C43">
        <v>7.09</v>
      </c>
      <c r="D43">
        <v>6.95</v>
      </c>
      <c r="E43">
        <v>7</v>
      </c>
      <c r="F43" s="7"/>
    </row>
    <row r="44" spans="1:6" x14ac:dyDescent="0.25">
      <c r="A44" s="6">
        <v>45532</v>
      </c>
      <c r="B44">
        <v>7.01</v>
      </c>
      <c r="C44">
        <v>7.05</v>
      </c>
      <c r="D44">
        <v>6.95</v>
      </c>
      <c r="E44">
        <v>6.99</v>
      </c>
      <c r="F44" s="7"/>
    </row>
    <row r="45" spans="1:6" x14ac:dyDescent="0.25">
      <c r="A45" s="6">
        <v>45533</v>
      </c>
      <c r="B45">
        <v>6.95</v>
      </c>
      <c r="C45">
        <v>7</v>
      </c>
      <c r="D45">
        <v>6.82</v>
      </c>
      <c r="E45">
        <v>6.88</v>
      </c>
      <c r="F45" s="7"/>
    </row>
    <row r="46" spans="1:6" x14ac:dyDescent="0.25">
      <c r="A46" s="6">
        <v>45534</v>
      </c>
      <c r="B46">
        <v>6.95</v>
      </c>
      <c r="C46">
        <v>7.08</v>
      </c>
      <c r="D46">
        <v>6.85</v>
      </c>
      <c r="E46">
        <v>6.94</v>
      </c>
      <c r="F46" s="7"/>
    </row>
    <row r="47" spans="1:6" x14ac:dyDescent="0.25">
      <c r="A47" s="6">
        <v>45537</v>
      </c>
      <c r="B47">
        <v>6.94</v>
      </c>
      <c r="C47">
        <v>7</v>
      </c>
      <c r="D47">
        <v>6.83</v>
      </c>
      <c r="E47">
        <v>7</v>
      </c>
      <c r="F47" s="7"/>
    </row>
    <row r="48" spans="1:6" x14ac:dyDescent="0.25">
      <c r="A48" s="6">
        <v>45538</v>
      </c>
      <c r="B48">
        <v>7.02</v>
      </c>
      <c r="C48">
        <v>7.08</v>
      </c>
      <c r="D48">
        <v>6.91</v>
      </c>
      <c r="E48">
        <v>6.98</v>
      </c>
      <c r="F48" s="7"/>
    </row>
    <row r="49" spans="1:6" x14ac:dyDescent="0.25">
      <c r="A49" s="6">
        <v>45539</v>
      </c>
      <c r="B49">
        <v>6.89</v>
      </c>
      <c r="C49">
        <v>6.8949999999999996</v>
      </c>
      <c r="D49">
        <v>6.7</v>
      </c>
      <c r="E49">
        <v>6.82</v>
      </c>
      <c r="F49" s="7"/>
    </row>
    <row r="50" spans="1:6" x14ac:dyDescent="0.25">
      <c r="A50" s="6">
        <v>45540</v>
      </c>
      <c r="B50">
        <v>6.87</v>
      </c>
      <c r="C50">
        <v>7.01</v>
      </c>
      <c r="D50">
        <v>6.76</v>
      </c>
      <c r="E50">
        <v>6.78</v>
      </c>
      <c r="F50" s="7"/>
    </row>
    <row r="51" spans="1:6" x14ac:dyDescent="0.25">
      <c r="A51" s="6">
        <v>45541</v>
      </c>
      <c r="B51">
        <v>6.84</v>
      </c>
      <c r="C51">
        <v>6.9</v>
      </c>
      <c r="D51">
        <v>6.81</v>
      </c>
      <c r="E51">
        <v>6.85</v>
      </c>
      <c r="F51" s="7"/>
    </row>
    <row r="52" spans="1:6" x14ac:dyDescent="0.25">
      <c r="A52" s="6">
        <v>45544</v>
      </c>
      <c r="B52">
        <v>6.79</v>
      </c>
      <c r="C52">
        <v>6.79</v>
      </c>
      <c r="D52">
        <v>6.67</v>
      </c>
      <c r="E52">
        <v>6.72</v>
      </c>
      <c r="F52" s="7"/>
    </row>
    <row r="53" spans="1:6" x14ac:dyDescent="0.25">
      <c r="A53" s="6">
        <v>45545</v>
      </c>
      <c r="B53">
        <v>6.69</v>
      </c>
      <c r="C53">
        <v>6.8</v>
      </c>
      <c r="D53">
        <v>6.63</v>
      </c>
      <c r="E53">
        <v>6.65</v>
      </c>
      <c r="F53" s="7"/>
    </row>
    <row r="54" spans="1:6" x14ac:dyDescent="0.25">
      <c r="A54" s="6">
        <v>45546</v>
      </c>
      <c r="B54">
        <v>6.77</v>
      </c>
      <c r="C54">
        <v>6.77</v>
      </c>
      <c r="D54">
        <v>6.6</v>
      </c>
      <c r="E54">
        <v>6.66</v>
      </c>
      <c r="F54" s="7"/>
    </row>
    <row r="55" spans="1:6" x14ac:dyDescent="0.25">
      <c r="A55" s="6">
        <v>45547</v>
      </c>
      <c r="B55">
        <v>6.66</v>
      </c>
      <c r="C55">
        <v>6.77</v>
      </c>
      <c r="D55">
        <v>6.42</v>
      </c>
      <c r="E55">
        <v>6.7</v>
      </c>
      <c r="F55" s="7"/>
    </row>
    <row r="56" spans="1:6" x14ac:dyDescent="0.25">
      <c r="A56" s="6">
        <v>45548</v>
      </c>
      <c r="B56">
        <v>6.76</v>
      </c>
      <c r="C56">
        <v>6.76</v>
      </c>
      <c r="D56">
        <v>6.64</v>
      </c>
      <c r="E56">
        <v>6.67</v>
      </c>
      <c r="F56" s="7"/>
    </row>
    <row r="57" spans="1:6" x14ac:dyDescent="0.25">
      <c r="A57" s="6">
        <v>45551</v>
      </c>
      <c r="B57">
        <v>6.68</v>
      </c>
      <c r="C57">
        <v>6.84</v>
      </c>
      <c r="D57">
        <v>6.65</v>
      </c>
      <c r="E57">
        <v>6.7</v>
      </c>
      <c r="F57" s="7"/>
    </row>
    <row r="58" spans="1:6" x14ac:dyDescent="0.25">
      <c r="A58" s="6">
        <v>45552</v>
      </c>
      <c r="B58">
        <v>6.7</v>
      </c>
      <c r="C58">
        <v>6.75</v>
      </c>
      <c r="D58">
        <v>6.64</v>
      </c>
      <c r="E58">
        <v>6.7</v>
      </c>
      <c r="F58" s="7"/>
    </row>
    <row r="59" spans="1:6" x14ac:dyDescent="0.25">
      <c r="A59" s="6">
        <v>45553</v>
      </c>
      <c r="B59">
        <v>6.74</v>
      </c>
      <c r="C59">
        <v>6.87</v>
      </c>
      <c r="D59">
        <v>6.7</v>
      </c>
      <c r="E59">
        <v>6.75</v>
      </c>
      <c r="F59" s="7"/>
    </row>
    <row r="60" spans="1:6" x14ac:dyDescent="0.25">
      <c r="A60" s="6">
        <v>45554</v>
      </c>
      <c r="B60">
        <v>6.75</v>
      </c>
      <c r="C60">
        <v>6.78</v>
      </c>
      <c r="D60">
        <v>6.73</v>
      </c>
      <c r="E60">
        <v>6.76</v>
      </c>
      <c r="F60" s="7"/>
    </row>
    <row r="61" spans="1:6" x14ac:dyDescent="0.25">
      <c r="A61" s="6">
        <v>45555</v>
      </c>
      <c r="B61">
        <v>6.77</v>
      </c>
      <c r="C61">
        <v>7.1</v>
      </c>
      <c r="D61">
        <v>6.77</v>
      </c>
      <c r="E61">
        <v>6.91</v>
      </c>
      <c r="F61" s="7"/>
    </row>
    <row r="62" spans="1:6" x14ac:dyDescent="0.25">
      <c r="A62" s="6">
        <v>45558</v>
      </c>
      <c r="B62">
        <v>6.88</v>
      </c>
      <c r="C62">
        <v>7.21</v>
      </c>
      <c r="D62">
        <v>6.85</v>
      </c>
      <c r="E62">
        <v>7.04</v>
      </c>
      <c r="F62" s="7"/>
    </row>
    <row r="63" spans="1:6" x14ac:dyDescent="0.25">
      <c r="A63" s="6">
        <v>45559</v>
      </c>
      <c r="B63">
        <v>7.03</v>
      </c>
      <c r="C63">
        <v>7.12</v>
      </c>
      <c r="D63">
        <v>6.92</v>
      </c>
      <c r="E63">
        <v>7.08</v>
      </c>
      <c r="F63" s="7"/>
    </row>
    <row r="64" spans="1:6" x14ac:dyDescent="0.25">
      <c r="A64" s="6">
        <v>45560</v>
      </c>
      <c r="B64">
        <v>7.13</v>
      </c>
      <c r="C64">
        <v>7.2149999999999999</v>
      </c>
      <c r="D64">
        <v>7.04</v>
      </c>
      <c r="E64">
        <v>7.09</v>
      </c>
      <c r="F64" s="7"/>
    </row>
    <row r="65" spans="1:6" x14ac:dyDescent="0.25">
      <c r="A65" s="6">
        <v>45561</v>
      </c>
      <c r="B65">
        <v>7.09</v>
      </c>
      <c r="C65">
        <v>7.39</v>
      </c>
      <c r="D65">
        <v>7.09</v>
      </c>
      <c r="E65">
        <v>7.3</v>
      </c>
      <c r="F65" s="7"/>
    </row>
    <row r="66" spans="1:6" x14ac:dyDescent="0.25">
      <c r="A66" s="6">
        <v>45562</v>
      </c>
      <c r="B66">
        <v>7.2</v>
      </c>
      <c r="C66">
        <v>7.31</v>
      </c>
      <c r="D66">
        <v>7.2</v>
      </c>
      <c r="E66">
        <v>7.31</v>
      </c>
      <c r="F66" s="7"/>
    </row>
    <row r="67" spans="1:6" x14ac:dyDescent="0.25">
      <c r="A67" s="6">
        <v>45565</v>
      </c>
      <c r="B67">
        <v>7.58</v>
      </c>
      <c r="C67">
        <v>7.65</v>
      </c>
      <c r="D67">
        <v>7.32</v>
      </c>
      <c r="E67">
        <v>7.5</v>
      </c>
      <c r="F67" s="7"/>
    </row>
    <row r="68" spans="1:6" x14ac:dyDescent="0.25">
      <c r="A68" s="6">
        <v>45566</v>
      </c>
      <c r="B68">
        <v>7.59</v>
      </c>
      <c r="C68">
        <v>7.65</v>
      </c>
      <c r="D68">
        <v>7.42</v>
      </c>
      <c r="E68">
        <v>7.64</v>
      </c>
      <c r="F68" s="7"/>
    </row>
    <row r="69" spans="1:6" x14ac:dyDescent="0.25">
      <c r="A69" s="6">
        <v>45567</v>
      </c>
      <c r="B69">
        <v>7.63</v>
      </c>
      <c r="C69">
        <v>7.75</v>
      </c>
      <c r="D69">
        <v>7.53</v>
      </c>
      <c r="E69">
        <v>7.7</v>
      </c>
      <c r="F69" s="7"/>
    </row>
    <row r="70" spans="1:6" x14ac:dyDescent="0.25">
      <c r="A70" s="6">
        <v>45568</v>
      </c>
      <c r="B70">
        <v>7.8</v>
      </c>
      <c r="C70">
        <v>7.85</v>
      </c>
      <c r="D70">
        <v>7.5350000000000001</v>
      </c>
      <c r="E70">
        <v>7.75</v>
      </c>
      <c r="F70" s="7"/>
    </row>
    <row r="71" spans="1:6" x14ac:dyDescent="0.25">
      <c r="A71" s="6">
        <v>45569</v>
      </c>
      <c r="B71">
        <v>7.83</v>
      </c>
      <c r="C71">
        <v>7.83</v>
      </c>
      <c r="D71">
        <v>7.55</v>
      </c>
      <c r="E71">
        <v>7.6</v>
      </c>
      <c r="F71" s="7"/>
    </row>
    <row r="72" spans="1:6" x14ac:dyDescent="0.25">
      <c r="A72" s="6">
        <v>45572</v>
      </c>
      <c r="B72">
        <v>7.67</v>
      </c>
      <c r="C72">
        <v>7.74</v>
      </c>
      <c r="D72">
        <v>7.56</v>
      </c>
      <c r="E72">
        <v>7.7</v>
      </c>
      <c r="F72" s="7"/>
    </row>
    <row r="73" spans="1:6" x14ac:dyDescent="0.25">
      <c r="A73" s="6">
        <v>45573</v>
      </c>
      <c r="B73">
        <v>7.71</v>
      </c>
      <c r="C73">
        <v>7.74</v>
      </c>
      <c r="D73">
        <v>7.58</v>
      </c>
      <c r="E73">
        <v>7.65</v>
      </c>
      <c r="F73" s="7"/>
    </row>
    <row r="74" spans="1:6" x14ac:dyDescent="0.25">
      <c r="A74" s="6">
        <v>45574</v>
      </c>
      <c r="B74">
        <v>7.6</v>
      </c>
      <c r="C74">
        <v>7.77</v>
      </c>
      <c r="D74">
        <v>7.6</v>
      </c>
      <c r="E74">
        <v>7.75</v>
      </c>
      <c r="F74" s="7"/>
    </row>
    <row r="75" spans="1:6" x14ac:dyDescent="0.25">
      <c r="A75" s="6">
        <v>45575</v>
      </c>
      <c r="B75">
        <v>7.73</v>
      </c>
      <c r="C75">
        <v>7.89</v>
      </c>
      <c r="D75">
        <v>7.64</v>
      </c>
      <c r="E75">
        <v>7.7</v>
      </c>
      <c r="F75" s="7"/>
    </row>
    <row r="76" spans="1:6" x14ac:dyDescent="0.25">
      <c r="A76" s="6">
        <v>45576</v>
      </c>
      <c r="B76">
        <v>7.7</v>
      </c>
      <c r="C76">
        <v>7.75</v>
      </c>
      <c r="D76">
        <v>7.61</v>
      </c>
      <c r="E76">
        <v>7.71</v>
      </c>
      <c r="F76" s="7"/>
    </row>
    <row r="77" spans="1:6" x14ac:dyDescent="0.25">
      <c r="A77" s="6">
        <v>45579</v>
      </c>
      <c r="B77">
        <v>7.73</v>
      </c>
      <c r="C77">
        <v>7.78</v>
      </c>
      <c r="D77">
        <v>7.53</v>
      </c>
      <c r="E77">
        <v>7.62</v>
      </c>
      <c r="F77" s="7"/>
    </row>
    <row r="78" spans="1:6" x14ac:dyDescent="0.25">
      <c r="A78" s="6">
        <v>45580</v>
      </c>
      <c r="B78">
        <v>7.56</v>
      </c>
      <c r="C78">
        <v>8.06</v>
      </c>
      <c r="D78">
        <v>7.56</v>
      </c>
      <c r="E78">
        <v>8.0299999999999994</v>
      </c>
      <c r="F78" s="7"/>
    </row>
    <row r="79" spans="1:6" x14ac:dyDescent="0.25">
      <c r="A79" s="6">
        <v>45581</v>
      </c>
      <c r="B79">
        <v>8</v>
      </c>
      <c r="C79">
        <v>8.24</v>
      </c>
      <c r="D79">
        <v>7.94</v>
      </c>
      <c r="E79">
        <v>8.1199999999999992</v>
      </c>
      <c r="F79" s="7"/>
    </row>
    <row r="80" spans="1:6" x14ac:dyDescent="0.25">
      <c r="A80" s="6">
        <v>45582</v>
      </c>
      <c r="B80">
        <v>8.1999999999999993</v>
      </c>
      <c r="C80">
        <v>8.23</v>
      </c>
      <c r="D80">
        <v>8.0299999999999994</v>
      </c>
      <c r="E80">
        <v>8.09</v>
      </c>
      <c r="F80" s="7"/>
    </row>
    <row r="81" spans="1:6" x14ac:dyDescent="0.25">
      <c r="A81" s="6">
        <v>45583</v>
      </c>
      <c r="B81">
        <v>8.1</v>
      </c>
      <c r="C81">
        <v>8.16</v>
      </c>
      <c r="D81">
        <v>7.95</v>
      </c>
      <c r="E81">
        <v>8.16</v>
      </c>
      <c r="F81" s="7"/>
    </row>
    <row r="82" spans="1:6" x14ac:dyDescent="0.25">
      <c r="A82" s="6">
        <v>45586</v>
      </c>
      <c r="B82">
        <v>8.09</v>
      </c>
      <c r="C82">
        <v>8.36</v>
      </c>
      <c r="D82">
        <v>8.08</v>
      </c>
      <c r="E82">
        <v>8.25</v>
      </c>
      <c r="F82" s="7"/>
    </row>
    <row r="83" spans="1:6" x14ac:dyDescent="0.25">
      <c r="A83" s="6">
        <v>45587</v>
      </c>
      <c r="B83">
        <v>8.2899999999999991</v>
      </c>
      <c r="C83">
        <v>8.32</v>
      </c>
      <c r="D83">
        <v>7.9649999999999999</v>
      </c>
      <c r="E83">
        <v>8.25</v>
      </c>
      <c r="F83" s="7"/>
    </row>
    <row r="84" spans="1:6" x14ac:dyDescent="0.25">
      <c r="A84" s="6">
        <v>45588</v>
      </c>
      <c r="B84">
        <v>8.25</v>
      </c>
      <c r="C84">
        <v>8.33</v>
      </c>
      <c r="D84">
        <v>8.1199999999999992</v>
      </c>
      <c r="E84">
        <v>8.2100000000000009</v>
      </c>
      <c r="F84" s="7"/>
    </row>
    <row r="85" spans="1:6" x14ac:dyDescent="0.25">
      <c r="A85" s="6">
        <v>45589</v>
      </c>
      <c r="B85">
        <v>8.2100000000000009</v>
      </c>
      <c r="C85">
        <v>8.2100000000000009</v>
      </c>
      <c r="D85">
        <v>7.84</v>
      </c>
      <c r="E85">
        <v>7.96</v>
      </c>
      <c r="F85" s="7"/>
    </row>
    <row r="86" spans="1:6" x14ac:dyDescent="0.25">
      <c r="A86" s="6">
        <v>45590</v>
      </c>
      <c r="B86">
        <v>7.96</v>
      </c>
      <c r="C86">
        <v>8.09</v>
      </c>
      <c r="D86">
        <v>7.94</v>
      </c>
      <c r="E86">
        <v>7.98</v>
      </c>
      <c r="F86" s="7"/>
    </row>
    <row r="87" spans="1:6" x14ac:dyDescent="0.25">
      <c r="A87" s="6">
        <v>45593</v>
      </c>
      <c r="B87">
        <v>8.18</v>
      </c>
      <c r="C87">
        <v>8.2799999999999994</v>
      </c>
      <c r="D87">
        <v>7.97</v>
      </c>
      <c r="E87">
        <v>8.19</v>
      </c>
      <c r="F87" s="7"/>
    </row>
    <row r="88" spans="1:6" x14ac:dyDescent="0.25">
      <c r="A88" s="6">
        <v>45594</v>
      </c>
      <c r="B88">
        <v>8.2200000000000006</v>
      </c>
      <c r="C88">
        <v>8.4</v>
      </c>
      <c r="D88">
        <v>8.02</v>
      </c>
      <c r="E88">
        <v>8.33</v>
      </c>
      <c r="F88" s="7"/>
    </row>
    <row r="89" spans="1:6" x14ac:dyDescent="0.25">
      <c r="A89" s="6">
        <v>45595</v>
      </c>
      <c r="B89">
        <v>8.33</v>
      </c>
      <c r="C89">
        <v>8.42</v>
      </c>
      <c r="D89">
        <v>7.5149999999999997</v>
      </c>
      <c r="E89">
        <v>7.99</v>
      </c>
      <c r="F89" s="7"/>
    </row>
    <row r="90" spans="1:6" x14ac:dyDescent="0.25">
      <c r="A90" s="6">
        <v>45596</v>
      </c>
      <c r="B90">
        <v>7.92</v>
      </c>
      <c r="C90">
        <v>8</v>
      </c>
      <c r="D90">
        <v>7.49</v>
      </c>
      <c r="E90">
        <v>7.88</v>
      </c>
      <c r="F90" s="7"/>
    </row>
    <row r="91" spans="1:6" x14ac:dyDescent="0.25">
      <c r="A91" s="6">
        <v>45597</v>
      </c>
      <c r="B91">
        <v>7.85</v>
      </c>
      <c r="C91">
        <v>8.0399999999999991</v>
      </c>
      <c r="D91">
        <v>7.72</v>
      </c>
      <c r="E91">
        <v>7.8</v>
      </c>
      <c r="F91" s="7"/>
    </row>
    <row r="92" spans="1:6" x14ac:dyDescent="0.25">
      <c r="A92" s="6">
        <v>45600</v>
      </c>
      <c r="B92">
        <v>7.83</v>
      </c>
      <c r="C92">
        <v>7.92</v>
      </c>
      <c r="D92">
        <v>7.57</v>
      </c>
      <c r="E92">
        <v>7.65</v>
      </c>
      <c r="F92" s="7"/>
    </row>
    <row r="93" spans="1:6" x14ac:dyDescent="0.25">
      <c r="A93" s="6">
        <v>45601</v>
      </c>
      <c r="B93">
        <v>7.7</v>
      </c>
      <c r="C93">
        <v>7.7</v>
      </c>
      <c r="D93">
        <v>7.6</v>
      </c>
      <c r="E93">
        <v>7.64</v>
      </c>
      <c r="F93" s="7"/>
    </row>
    <row r="94" spans="1:6" x14ac:dyDescent="0.25">
      <c r="A94" s="6">
        <v>45602</v>
      </c>
      <c r="B94">
        <v>7.67</v>
      </c>
      <c r="C94">
        <v>7.81</v>
      </c>
      <c r="D94">
        <v>7.6349999999999998</v>
      </c>
      <c r="E94">
        <v>7.68</v>
      </c>
      <c r="F94" s="7"/>
    </row>
    <row r="95" spans="1:6" x14ac:dyDescent="0.25">
      <c r="A95" s="6">
        <v>45603</v>
      </c>
      <c r="B95">
        <v>7.68</v>
      </c>
      <c r="C95">
        <v>7.82</v>
      </c>
      <c r="D95">
        <v>7.59</v>
      </c>
      <c r="E95">
        <v>7.61</v>
      </c>
      <c r="F95" s="7"/>
    </row>
    <row r="96" spans="1:6" x14ac:dyDescent="0.25">
      <c r="A96" s="6">
        <v>45604</v>
      </c>
      <c r="B96">
        <v>7.65</v>
      </c>
      <c r="C96">
        <v>7.78</v>
      </c>
      <c r="D96">
        <v>7.51</v>
      </c>
      <c r="E96">
        <v>7.73</v>
      </c>
      <c r="F96" s="7"/>
    </row>
    <row r="97" spans="1:6" x14ac:dyDescent="0.25">
      <c r="A97" s="6">
        <v>45607</v>
      </c>
      <c r="B97">
        <v>7.68</v>
      </c>
      <c r="C97">
        <v>7.73</v>
      </c>
      <c r="D97">
        <v>7.55</v>
      </c>
      <c r="E97">
        <v>7.73</v>
      </c>
      <c r="F97" s="7"/>
    </row>
    <row r="98" spans="1:6" x14ac:dyDescent="0.25">
      <c r="A98" s="6">
        <v>45608</v>
      </c>
      <c r="B98">
        <v>7.59</v>
      </c>
      <c r="C98">
        <v>7.96</v>
      </c>
      <c r="D98">
        <v>7.59</v>
      </c>
      <c r="E98">
        <v>7.83</v>
      </c>
      <c r="F98" s="7"/>
    </row>
    <row r="99" spans="1:6" x14ac:dyDescent="0.25">
      <c r="A99" s="6">
        <v>45609</v>
      </c>
      <c r="B99">
        <v>7.54</v>
      </c>
      <c r="C99">
        <v>7.82</v>
      </c>
      <c r="D99">
        <v>7.54</v>
      </c>
      <c r="E99">
        <v>7.78</v>
      </c>
      <c r="F99" s="7"/>
    </row>
    <row r="100" spans="1:6" x14ac:dyDescent="0.25">
      <c r="A100" s="6">
        <v>45610</v>
      </c>
      <c r="B100">
        <v>7.7</v>
      </c>
      <c r="C100">
        <v>7.79</v>
      </c>
      <c r="D100">
        <v>7.6849999999999996</v>
      </c>
      <c r="E100">
        <v>7.75</v>
      </c>
      <c r="F100" s="7"/>
    </row>
    <row r="101" spans="1:6" x14ac:dyDescent="0.25">
      <c r="A101" s="6">
        <v>45611</v>
      </c>
      <c r="B101">
        <v>7.79</v>
      </c>
      <c r="C101">
        <v>8</v>
      </c>
      <c r="D101">
        <v>7.63</v>
      </c>
      <c r="E101">
        <v>7.92</v>
      </c>
      <c r="F101" s="7"/>
    </row>
    <row r="102" spans="1:6" x14ac:dyDescent="0.25">
      <c r="A102" s="6">
        <v>45614</v>
      </c>
      <c r="B102">
        <v>7.95</v>
      </c>
      <c r="C102">
        <v>8.0500000000000007</v>
      </c>
      <c r="D102">
        <v>7.75</v>
      </c>
      <c r="E102">
        <v>7.91</v>
      </c>
      <c r="F102" s="7"/>
    </row>
    <row r="103" spans="1:6" x14ac:dyDescent="0.25">
      <c r="A103" s="6">
        <v>45615</v>
      </c>
      <c r="B103">
        <v>8.0500000000000007</v>
      </c>
      <c r="C103">
        <v>8.1199999999999992</v>
      </c>
      <c r="D103">
        <v>8</v>
      </c>
      <c r="E103">
        <v>8.01</v>
      </c>
      <c r="F103" s="7"/>
    </row>
    <row r="104" spans="1:6" x14ac:dyDescent="0.25">
      <c r="A104" s="6">
        <v>45616</v>
      </c>
      <c r="B104">
        <v>7.99</v>
      </c>
      <c r="C104">
        <v>8.01</v>
      </c>
      <c r="D104">
        <v>7.77</v>
      </c>
      <c r="E104">
        <v>7.77</v>
      </c>
      <c r="F104" s="7"/>
    </row>
    <row r="105" spans="1:6" x14ac:dyDescent="0.25">
      <c r="A105" s="6">
        <v>45617</v>
      </c>
      <c r="B105">
        <v>7.77</v>
      </c>
      <c r="C105">
        <v>7.77</v>
      </c>
      <c r="D105">
        <v>7.46</v>
      </c>
      <c r="E105">
        <v>7.46</v>
      </c>
      <c r="F105" s="7"/>
    </row>
    <row r="106" spans="1:6" x14ac:dyDescent="0.25">
      <c r="A106" s="6">
        <v>45618</v>
      </c>
      <c r="B106">
        <v>7.45</v>
      </c>
      <c r="C106">
        <v>7.49</v>
      </c>
      <c r="D106">
        <v>7.33</v>
      </c>
      <c r="E106">
        <v>7.44</v>
      </c>
      <c r="F106" s="7"/>
    </row>
    <row r="107" spans="1:6" x14ac:dyDescent="0.25">
      <c r="A107" s="6">
        <v>45621</v>
      </c>
      <c r="B107">
        <v>7.46</v>
      </c>
      <c r="C107">
        <v>7.5</v>
      </c>
      <c r="D107">
        <v>7.22</v>
      </c>
      <c r="E107">
        <v>7.46</v>
      </c>
      <c r="F107" s="7"/>
    </row>
    <row r="108" spans="1:6" x14ac:dyDescent="0.25">
      <c r="A108" s="6">
        <v>45622</v>
      </c>
      <c r="B108">
        <v>7.45</v>
      </c>
      <c r="C108">
        <v>7.78</v>
      </c>
      <c r="D108">
        <v>7.44</v>
      </c>
      <c r="E108">
        <v>7.66</v>
      </c>
      <c r="F108" s="7"/>
    </row>
    <row r="109" spans="1:6" x14ac:dyDescent="0.25">
      <c r="A109" s="6">
        <v>45623</v>
      </c>
      <c r="B109">
        <v>7.65</v>
      </c>
      <c r="C109">
        <v>7.78</v>
      </c>
      <c r="D109">
        <v>7.57</v>
      </c>
      <c r="E109">
        <v>7.66</v>
      </c>
      <c r="F109" s="7"/>
    </row>
    <row r="110" spans="1:6" x14ac:dyDescent="0.25">
      <c r="A110" s="6">
        <v>45624</v>
      </c>
      <c r="B110">
        <v>7.65</v>
      </c>
      <c r="C110">
        <v>7.72</v>
      </c>
      <c r="D110">
        <v>7.55</v>
      </c>
      <c r="E110">
        <v>7.55</v>
      </c>
      <c r="F110" s="7"/>
    </row>
    <row r="111" spans="1:6" x14ac:dyDescent="0.25">
      <c r="A111" s="6">
        <v>45625</v>
      </c>
      <c r="B111">
        <v>7.42</v>
      </c>
      <c r="C111">
        <v>7.87</v>
      </c>
      <c r="D111">
        <v>7.42</v>
      </c>
      <c r="E111">
        <v>7.8</v>
      </c>
      <c r="F111" s="7"/>
    </row>
    <row r="112" spans="1:6" x14ac:dyDescent="0.25">
      <c r="A112" s="6">
        <v>45628</v>
      </c>
      <c r="B112">
        <v>7.85</v>
      </c>
      <c r="C112">
        <v>7.92</v>
      </c>
      <c r="D112">
        <v>7.56</v>
      </c>
      <c r="E112">
        <v>7.66</v>
      </c>
      <c r="F112" s="7"/>
    </row>
    <row r="113" spans="1:6" x14ac:dyDescent="0.25">
      <c r="A113" s="6">
        <v>45629</v>
      </c>
      <c r="B113">
        <v>7.65</v>
      </c>
      <c r="C113">
        <v>7.92</v>
      </c>
      <c r="D113">
        <v>7.65</v>
      </c>
      <c r="E113">
        <v>7.9</v>
      </c>
      <c r="F113" s="7"/>
    </row>
    <row r="114" spans="1:6" x14ac:dyDescent="0.25">
      <c r="A114" s="6">
        <v>45630</v>
      </c>
      <c r="B114">
        <v>7.81</v>
      </c>
      <c r="C114">
        <v>8.1</v>
      </c>
      <c r="D114">
        <v>7.73</v>
      </c>
      <c r="E114">
        <v>8.08</v>
      </c>
      <c r="F114" s="7"/>
    </row>
    <row r="115" spans="1:6" x14ac:dyDescent="0.25">
      <c r="A115" s="6">
        <v>45631</v>
      </c>
      <c r="B115">
        <v>8.08</v>
      </c>
      <c r="C115">
        <v>8.24</v>
      </c>
      <c r="D115">
        <v>8.07</v>
      </c>
      <c r="E115">
        <v>8.14</v>
      </c>
      <c r="F115" s="7"/>
    </row>
    <row r="116" spans="1:6" x14ac:dyDescent="0.25">
      <c r="A116" s="6">
        <v>45632</v>
      </c>
      <c r="B116">
        <v>8.14</v>
      </c>
      <c r="C116">
        <v>8.25</v>
      </c>
      <c r="D116">
        <v>8.01</v>
      </c>
      <c r="E116">
        <v>8.06</v>
      </c>
      <c r="F116" s="7"/>
    </row>
    <row r="117" spans="1:6" x14ac:dyDescent="0.25">
      <c r="A117" s="6">
        <v>45635</v>
      </c>
      <c r="B117">
        <v>8.1</v>
      </c>
      <c r="C117">
        <v>8.15</v>
      </c>
      <c r="D117">
        <v>7.91</v>
      </c>
      <c r="E117">
        <v>8</v>
      </c>
      <c r="F117" s="7"/>
    </row>
    <row r="118" spans="1:6" x14ac:dyDescent="0.25">
      <c r="A118" s="6">
        <v>45636</v>
      </c>
      <c r="B118">
        <v>7.99</v>
      </c>
      <c r="C118">
        <v>8.0500000000000007</v>
      </c>
      <c r="D118">
        <v>7.76</v>
      </c>
      <c r="E118">
        <v>7.82</v>
      </c>
      <c r="F118" s="7"/>
    </row>
    <row r="119" spans="1:6" x14ac:dyDescent="0.25">
      <c r="A119" s="6">
        <v>45637</v>
      </c>
      <c r="B119">
        <v>7.73</v>
      </c>
      <c r="C119">
        <v>7.835</v>
      </c>
      <c r="D119">
        <v>7.66</v>
      </c>
      <c r="E119">
        <v>7.74</v>
      </c>
      <c r="F119" s="7"/>
    </row>
    <row r="120" spans="1:6" x14ac:dyDescent="0.25">
      <c r="A120" s="6">
        <v>45638</v>
      </c>
      <c r="B120">
        <v>7.68</v>
      </c>
      <c r="C120">
        <v>7.88</v>
      </c>
      <c r="D120">
        <v>7.68</v>
      </c>
      <c r="E120">
        <v>7.79</v>
      </c>
      <c r="F120" s="7"/>
    </row>
    <row r="121" spans="1:6" x14ac:dyDescent="0.25">
      <c r="A121" s="6">
        <v>45639</v>
      </c>
      <c r="B121">
        <v>7.78</v>
      </c>
      <c r="C121">
        <v>7.84</v>
      </c>
      <c r="D121">
        <v>7.72</v>
      </c>
      <c r="E121">
        <v>7.73</v>
      </c>
      <c r="F121" s="7"/>
    </row>
    <row r="122" spans="1:6" x14ac:dyDescent="0.25">
      <c r="A122" s="6">
        <v>45642</v>
      </c>
      <c r="B122">
        <v>7.72</v>
      </c>
      <c r="C122">
        <v>7.9</v>
      </c>
      <c r="D122">
        <v>7.72</v>
      </c>
      <c r="E122">
        <v>7.78</v>
      </c>
      <c r="F122" s="7"/>
    </row>
    <row r="123" spans="1:6" x14ac:dyDescent="0.25">
      <c r="A123" s="6">
        <v>45643</v>
      </c>
      <c r="B123">
        <v>7.76</v>
      </c>
      <c r="C123">
        <v>8.0399999999999991</v>
      </c>
      <c r="D123">
        <v>7.75</v>
      </c>
      <c r="E123">
        <v>8.02</v>
      </c>
      <c r="F123" s="7"/>
    </row>
    <row r="124" spans="1:6" x14ac:dyDescent="0.25">
      <c r="A124" s="6">
        <v>45644</v>
      </c>
      <c r="B124">
        <v>8.02</v>
      </c>
      <c r="C124">
        <v>8.11</v>
      </c>
      <c r="D124">
        <v>7.97</v>
      </c>
      <c r="E124">
        <v>8.0399999999999991</v>
      </c>
      <c r="F124" s="7"/>
    </row>
    <row r="125" spans="1:6" x14ac:dyDescent="0.25">
      <c r="A125" s="6">
        <v>45645</v>
      </c>
      <c r="B125">
        <v>7.87</v>
      </c>
      <c r="C125">
        <v>7.97</v>
      </c>
      <c r="D125">
        <v>7.83</v>
      </c>
      <c r="E125">
        <v>7.94</v>
      </c>
      <c r="F125" s="7"/>
    </row>
    <row r="126" spans="1:6" x14ac:dyDescent="0.25">
      <c r="A126" s="6">
        <v>45646</v>
      </c>
      <c r="B126">
        <v>7.84</v>
      </c>
      <c r="C126">
        <v>8.0500000000000007</v>
      </c>
      <c r="D126">
        <v>7.73</v>
      </c>
      <c r="E126">
        <v>7.97</v>
      </c>
      <c r="F126" s="7"/>
    </row>
    <row r="127" spans="1:6" x14ac:dyDescent="0.25">
      <c r="A127" s="6">
        <v>45649</v>
      </c>
      <c r="B127">
        <v>7.83</v>
      </c>
      <c r="C127">
        <v>8.0299999999999994</v>
      </c>
      <c r="D127">
        <v>7.82</v>
      </c>
      <c r="E127">
        <v>8.02</v>
      </c>
      <c r="F127" s="7"/>
    </row>
    <row r="128" spans="1:6" x14ac:dyDescent="0.25">
      <c r="A128" s="6">
        <v>45650</v>
      </c>
      <c r="B128">
        <v>7.85</v>
      </c>
      <c r="C128">
        <v>8.14</v>
      </c>
      <c r="D128">
        <v>7.85</v>
      </c>
      <c r="E128">
        <v>8.14</v>
      </c>
      <c r="F128" s="7"/>
    </row>
    <row r="129" spans="1:6" x14ac:dyDescent="0.25">
      <c r="A129" s="6">
        <v>45653</v>
      </c>
      <c r="B129">
        <v>8.14</v>
      </c>
      <c r="C129">
        <v>8.43</v>
      </c>
      <c r="D129">
        <v>8.14</v>
      </c>
      <c r="E129">
        <v>8.39</v>
      </c>
      <c r="F129" s="7"/>
    </row>
    <row r="130" spans="1:6" x14ac:dyDescent="0.25">
      <c r="A130" s="6">
        <v>45656</v>
      </c>
      <c r="B130">
        <v>8.3000000000000007</v>
      </c>
      <c r="C130">
        <v>8.43</v>
      </c>
      <c r="D130">
        <v>8.2200000000000006</v>
      </c>
      <c r="E130">
        <v>8.31</v>
      </c>
      <c r="F130" s="7"/>
    </row>
    <row r="131" spans="1:6" x14ac:dyDescent="0.25">
      <c r="A131" s="6">
        <v>45657</v>
      </c>
      <c r="B131">
        <v>8.2799999999999994</v>
      </c>
      <c r="C131">
        <v>8.58</v>
      </c>
      <c r="D131">
        <v>8.1</v>
      </c>
      <c r="E131">
        <v>8.58</v>
      </c>
      <c r="F131" s="7"/>
    </row>
    <row r="132" spans="1:6" x14ac:dyDescent="0.25">
      <c r="A132" s="6">
        <v>45659</v>
      </c>
      <c r="B132">
        <v>8.49</v>
      </c>
      <c r="C132">
        <v>8.5</v>
      </c>
      <c r="D132">
        <v>8.0399999999999991</v>
      </c>
      <c r="E132">
        <v>8.1</v>
      </c>
      <c r="F132" s="7"/>
    </row>
    <row r="133" spans="1:6" x14ac:dyDescent="0.25">
      <c r="A133" s="6">
        <v>45660</v>
      </c>
      <c r="B133">
        <v>8.25</v>
      </c>
      <c r="C133">
        <v>8.25</v>
      </c>
      <c r="D133">
        <v>8.1</v>
      </c>
      <c r="E133">
        <v>8.18</v>
      </c>
      <c r="F133" s="7"/>
    </row>
    <row r="134" spans="1:6" x14ac:dyDescent="0.25">
      <c r="A134" s="6">
        <v>45663</v>
      </c>
      <c r="B134">
        <v>8.27</v>
      </c>
      <c r="C134">
        <v>8.33</v>
      </c>
      <c r="D134">
        <v>8.14</v>
      </c>
      <c r="E134">
        <v>8.25</v>
      </c>
      <c r="F134" s="7"/>
    </row>
    <row r="135" spans="1:6" x14ac:dyDescent="0.25">
      <c r="A135" s="6">
        <v>45664</v>
      </c>
      <c r="B135">
        <v>8.3000000000000007</v>
      </c>
      <c r="C135">
        <v>8.49</v>
      </c>
      <c r="D135">
        <v>8.2899999999999991</v>
      </c>
      <c r="E135">
        <v>8.44</v>
      </c>
      <c r="F135" s="7"/>
    </row>
    <row r="136" spans="1:6" x14ac:dyDescent="0.25">
      <c r="A136" s="6">
        <v>45665</v>
      </c>
      <c r="B136">
        <v>8.4</v>
      </c>
      <c r="C136">
        <v>8.57</v>
      </c>
      <c r="D136">
        <v>8.31</v>
      </c>
      <c r="E136">
        <v>8.3800000000000008</v>
      </c>
      <c r="F136" s="7"/>
    </row>
    <row r="137" spans="1:6" x14ac:dyDescent="0.25">
      <c r="A137" s="6">
        <v>45666</v>
      </c>
      <c r="B137">
        <v>8.39</v>
      </c>
      <c r="C137">
        <v>8.49</v>
      </c>
      <c r="D137">
        <v>8.35</v>
      </c>
      <c r="E137">
        <v>8.43</v>
      </c>
      <c r="F137" s="7"/>
    </row>
    <row r="138" spans="1:6" x14ac:dyDescent="0.25">
      <c r="A138" s="6">
        <v>45667</v>
      </c>
      <c r="B138">
        <v>8.5500000000000007</v>
      </c>
      <c r="C138">
        <v>8.5500000000000007</v>
      </c>
      <c r="D138">
        <v>8.2899999999999991</v>
      </c>
      <c r="E138">
        <v>8.4</v>
      </c>
      <c r="F138" s="7"/>
    </row>
    <row r="139" spans="1:6" x14ac:dyDescent="0.25">
      <c r="A139" s="6">
        <v>45670</v>
      </c>
      <c r="B139">
        <v>8.41</v>
      </c>
      <c r="C139">
        <v>8.41</v>
      </c>
      <c r="D139">
        <v>7.92</v>
      </c>
      <c r="E139">
        <v>8.11</v>
      </c>
      <c r="F139" s="7"/>
    </row>
    <row r="140" spans="1:6" x14ac:dyDescent="0.25">
      <c r="A140" s="6">
        <v>45671</v>
      </c>
      <c r="B140">
        <v>8.09</v>
      </c>
      <c r="C140">
        <v>8.1199999999999992</v>
      </c>
      <c r="D140">
        <v>7.97</v>
      </c>
      <c r="E140">
        <v>8.0299999999999994</v>
      </c>
      <c r="F140" s="7"/>
    </row>
    <row r="141" spans="1:6" x14ac:dyDescent="0.25">
      <c r="A141" s="6">
        <v>45672</v>
      </c>
      <c r="B141">
        <v>7.91</v>
      </c>
      <c r="C141">
        <v>7.98</v>
      </c>
      <c r="D141">
        <v>7.76</v>
      </c>
      <c r="E141">
        <v>7.8</v>
      </c>
      <c r="F141" s="7"/>
    </row>
    <row r="142" spans="1:6" x14ac:dyDescent="0.25">
      <c r="A142" s="6">
        <v>45673</v>
      </c>
      <c r="B142">
        <v>7.74</v>
      </c>
      <c r="C142">
        <v>7.87</v>
      </c>
      <c r="D142">
        <v>7.68</v>
      </c>
      <c r="E142">
        <v>7.76</v>
      </c>
      <c r="F142" s="7"/>
    </row>
    <row r="143" spans="1:6" x14ac:dyDescent="0.25">
      <c r="A143" s="6">
        <v>45674</v>
      </c>
      <c r="B143">
        <v>7.55</v>
      </c>
      <c r="C143">
        <v>7.74</v>
      </c>
      <c r="D143">
        <v>7.55</v>
      </c>
      <c r="E143">
        <v>7.72</v>
      </c>
      <c r="F143" s="7"/>
    </row>
    <row r="144" spans="1:6" x14ac:dyDescent="0.25">
      <c r="A144" s="6">
        <v>45677</v>
      </c>
      <c r="B144">
        <v>7.62</v>
      </c>
      <c r="C144">
        <v>7.93</v>
      </c>
      <c r="D144">
        <v>7.52</v>
      </c>
      <c r="E144">
        <v>7.91</v>
      </c>
      <c r="F144" s="7"/>
    </row>
    <row r="145" spans="1:6" x14ac:dyDescent="0.25">
      <c r="A145" s="6">
        <v>45678</v>
      </c>
      <c r="B145">
        <v>7.99</v>
      </c>
      <c r="C145">
        <v>8.16</v>
      </c>
      <c r="D145">
        <v>7.89</v>
      </c>
      <c r="E145">
        <v>8.1</v>
      </c>
      <c r="F145" s="7"/>
    </row>
    <row r="146" spans="1:6" x14ac:dyDescent="0.25">
      <c r="A146" s="6">
        <v>45679</v>
      </c>
      <c r="B146">
        <v>8</v>
      </c>
      <c r="C146">
        <v>8.33</v>
      </c>
      <c r="D146">
        <v>8</v>
      </c>
      <c r="E146">
        <v>8.27</v>
      </c>
      <c r="F146" s="7"/>
    </row>
    <row r="147" spans="1:6" x14ac:dyDescent="0.25">
      <c r="A147" s="6">
        <v>45680</v>
      </c>
      <c r="B147">
        <v>8.27</v>
      </c>
      <c r="C147">
        <v>8.35</v>
      </c>
      <c r="D147">
        <v>8.1</v>
      </c>
      <c r="E147">
        <v>8.1</v>
      </c>
      <c r="F147" s="7"/>
    </row>
    <row r="148" spans="1:6" x14ac:dyDescent="0.25">
      <c r="A148" s="6">
        <v>45681</v>
      </c>
      <c r="B148">
        <v>8.02</v>
      </c>
      <c r="C148">
        <v>8.49</v>
      </c>
      <c r="D148">
        <v>8.02</v>
      </c>
      <c r="E148">
        <v>8.4</v>
      </c>
      <c r="F148" s="7"/>
    </row>
    <row r="149" spans="1:6" x14ac:dyDescent="0.25">
      <c r="A149" s="6">
        <v>45685</v>
      </c>
      <c r="B149">
        <v>8.34</v>
      </c>
      <c r="C149">
        <v>8.44</v>
      </c>
      <c r="D149">
        <v>8.31</v>
      </c>
      <c r="E149">
        <v>8.39</v>
      </c>
      <c r="F149" s="7"/>
    </row>
    <row r="150" spans="1:6" x14ac:dyDescent="0.25">
      <c r="A150" s="6">
        <v>45686</v>
      </c>
      <c r="B150">
        <v>8.39</v>
      </c>
      <c r="C150">
        <v>8.8000000000000007</v>
      </c>
      <c r="D150">
        <v>8.39</v>
      </c>
      <c r="E150">
        <v>8.4499999999999993</v>
      </c>
      <c r="F150" s="7"/>
    </row>
    <row r="151" spans="1:6" x14ac:dyDescent="0.25">
      <c r="A151" s="6">
        <v>45687</v>
      </c>
      <c r="B151">
        <v>8.6</v>
      </c>
      <c r="C151">
        <v>8.6</v>
      </c>
      <c r="D151">
        <v>8.31</v>
      </c>
      <c r="E151">
        <v>8.4</v>
      </c>
      <c r="F151" s="7"/>
    </row>
    <row r="152" spans="1:6" x14ac:dyDescent="0.25">
      <c r="A152" s="6">
        <v>45688</v>
      </c>
      <c r="B152">
        <v>8.52</v>
      </c>
      <c r="C152">
        <v>8.5250000000000004</v>
      </c>
      <c r="D152">
        <v>8.33</v>
      </c>
      <c r="E152">
        <v>8.52</v>
      </c>
      <c r="F152" s="7"/>
    </row>
    <row r="153" spans="1:6" x14ac:dyDescent="0.25">
      <c r="A153" s="6">
        <v>45691</v>
      </c>
      <c r="B153">
        <v>8.48</v>
      </c>
      <c r="C153">
        <v>8.48</v>
      </c>
      <c r="D153">
        <v>8.1300000000000008</v>
      </c>
      <c r="E153">
        <v>8.17</v>
      </c>
      <c r="F153" s="7"/>
    </row>
    <row r="154" spans="1:6" x14ac:dyDescent="0.25">
      <c r="A154" s="6">
        <v>45692</v>
      </c>
      <c r="B154">
        <v>8.1</v>
      </c>
      <c r="C154">
        <v>8.23</v>
      </c>
      <c r="D154">
        <v>8.1</v>
      </c>
      <c r="E154">
        <v>8.11</v>
      </c>
      <c r="F154" s="7"/>
    </row>
    <row r="155" spans="1:6" x14ac:dyDescent="0.25">
      <c r="A155" s="6">
        <v>45693</v>
      </c>
      <c r="B155">
        <v>8.1</v>
      </c>
      <c r="C155">
        <v>8.25</v>
      </c>
      <c r="D155">
        <v>7.95</v>
      </c>
      <c r="E155">
        <v>8.09</v>
      </c>
      <c r="F155" s="7"/>
    </row>
    <row r="156" spans="1:6" x14ac:dyDescent="0.25">
      <c r="A156" s="6">
        <v>45694</v>
      </c>
      <c r="B156">
        <v>8.15</v>
      </c>
      <c r="C156">
        <v>8.33</v>
      </c>
      <c r="D156">
        <v>8.0399999999999991</v>
      </c>
      <c r="E156">
        <v>8.3000000000000007</v>
      </c>
      <c r="F156" s="7"/>
    </row>
    <row r="157" spans="1:6" x14ac:dyDescent="0.25">
      <c r="A157" s="6">
        <v>45695</v>
      </c>
      <c r="B157">
        <v>8.3000000000000007</v>
      </c>
      <c r="C157">
        <v>8.6</v>
      </c>
      <c r="D157">
        <v>8.2899999999999991</v>
      </c>
      <c r="E157">
        <v>8.4700000000000006</v>
      </c>
      <c r="F157" s="7"/>
    </row>
    <row r="158" spans="1:6" x14ac:dyDescent="0.25">
      <c r="A158" s="6">
        <v>45698</v>
      </c>
      <c r="B158">
        <v>8.4600000000000009</v>
      </c>
      <c r="C158">
        <v>8.4600000000000009</v>
      </c>
      <c r="D158">
        <v>8.07</v>
      </c>
      <c r="E158">
        <v>8.19</v>
      </c>
      <c r="F158" s="7"/>
    </row>
    <row r="159" spans="1:6" x14ac:dyDescent="0.25">
      <c r="A159" s="6">
        <v>45699</v>
      </c>
      <c r="B159">
        <v>8.18</v>
      </c>
      <c r="C159">
        <v>8.27</v>
      </c>
      <c r="D159">
        <v>8.02</v>
      </c>
      <c r="E159">
        <v>8.19</v>
      </c>
      <c r="F159" s="7"/>
    </row>
    <row r="160" spans="1:6" x14ac:dyDescent="0.25">
      <c r="A160" s="6">
        <v>45700</v>
      </c>
      <c r="B160">
        <v>8.19</v>
      </c>
      <c r="C160">
        <v>8.2799999999999994</v>
      </c>
      <c r="D160">
        <v>8.07</v>
      </c>
      <c r="E160">
        <v>8.16</v>
      </c>
      <c r="F160" s="7"/>
    </row>
    <row r="161" spans="1:6" x14ac:dyDescent="0.25">
      <c r="A161" s="6">
        <v>45701</v>
      </c>
      <c r="B161">
        <v>8.1999999999999993</v>
      </c>
      <c r="C161">
        <v>8.25</v>
      </c>
      <c r="D161">
        <v>8.0250000000000004</v>
      </c>
      <c r="E161">
        <v>8.16</v>
      </c>
      <c r="F161" s="7"/>
    </row>
    <row r="162" spans="1:6" x14ac:dyDescent="0.25">
      <c r="A162" s="6">
        <v>45702</v>
      </c>
      <c r="B162">
        <v>8.32</v>
      </c>
      <c r="C162">
        <v>8.4499999999999993</v>
      </c>
      <c r="D162">
        <v>8.2650000000000006</v>
      </c>
      <c r="E162">
        <v>8.3000000000000007</v>
      </c>
      <c r="F162" s="7"/>
    </row>
    <row r="163" spans="1:6" x14ac:dyDescent="0.25">
      <c r="A163" s="6">
        <v>45705</v>
      </c>
      <c r="B163">
        <v>8.32</v>
      </c>
      <c r="C163">
        <v>8.4</v>
      </c>
      <c r="D163">
        <v>8.15</v>
      </c>
      <c r="E163">
        <v>8.4</v>
      </c>
      <c r="F163" s="7"/>
    </row>
    <row r="164" spans="1:6" x14ac:dyDescent="0.25">
      <c r="A164" s="6">
        <v>45706</v>
      </c>
      <c r="B164">
        <v>8.4</v>
      </c>
      <c r="C164">
        <v>8.52</v>
      </c>
      <c r="D164">
        <v>8.2200000000000006</v>
      </c>
      <c r="E164">
        <v>8.43</v>
      </c>
      <c r="F164" s="7"/>
    </row>
    <row r="165" spans="1:6" x14ac:dyDescent="0.25">
      <c r="A165" s="6">
        <v>45707</v>
      </c>
      <c r="B165">
        <v>8.57</v>
      </c>
      <c r="C165">
        <v>8.66</v>
      </c>
      <c r="D165">
        <v>8.43</v>
      </c>
      <c r="E165">
        <v>8.48</v>
      </c>
      <c r="F165" s="7"/>
    </row>
    <row r="166" spans="1:6" x14ac:dyDescent="0.25">
      <c r="A166" s="6">
        <v>45708</v>
      </c>
      <c r="B166">
        <v>8.84</v>
      </c>
      <c r="C166">
        <v>9.61</v>
      </c>
      <c r="D166">
        <v>8.84</v>
      </c>
      <c r="E166">
        <v>9.3000000000000007</v>
      </c>
      <c r="F166" s="7"/>
    </row>
    <row r="167" spans="1:6" x14ac:dyDescent="0.25">
      <c r="A167" s="6">
        <v>45709</v>
      </c>
      <c r="B167">
        <v>9.3800000000000008</v>
      </c>
      <c r="C167">
        <v>9.3800000000000008</v>
      </c>
      <c r="D167">
        <v>9.09</v>
      </c>
      <c r="E167">
        <v>9.17</v>
      </c>
      <c r="F167" s="7"/>
    </row>
    <row r="168" spans="1:6" x14ac:dyDescent="0.25">
      <c r="A168" s="6">
        <v>45712</v>
      </c>
      <c r="B168">
        <v>9.17</v>
      </c>
      <c r="C168">
        <v>9.17</v>
      </c>
      <c r="D168">
        <v>8.7200000000000006</v>
      </c>
      <c r="E168">
        <v>8.85</v>
      </c>
      <c r="F168" s="7"/>
    </row>
    <row r="169" spans="1:6" x14ac:dyDescent="0.25">
      <c r="A169" s="6">
        <v>45713</v>
      </c>
      <c r="B169">
        <v>8.9</v>
      </c>
      <c r="C169">
        <v>8.9</v>
      </c>
      <c r="D169">
        <v>8.64</v>
      </c>
      <c r="E169">
        <v>8.69</v>
      </c>
      <c r="F169" s="7"/>
    </row>
    <row r="170" spans="1:6" x14ac:dyDescent="0.25">
      <c r="A170" s="6">
        <v>45714</v>
      </c>
      <c r="B170">
        <v>8.8000000000000007</v>
      </c>
      <c r="C170">
        <v>8.8699999999999992</v>
      </c>
      <c r="D170">
        <v>8.56</v>
      </c>
      <c r="E170">
        <v>8.86</v>
      </c>
      <c r="F170" s="7"/>
    </row>
    <row r="171" spans="1:6" x14ac:dyDescent="0.25">
      <c r="A171" s="6">
        <v>45715</v>
      </c>
      <c r="B171">
        <v>9</v>
      </c>
      <c r="C171">
        <v>9.14</v>
      </c>
      <c r="D171">
        <v>8.92</v>
      </c>
      <c r="E171">
        <v>8.94</v>
      </c>
      <c r="F171" s="7"/>
    </row>
    <row r="172" spans="1:6" x14ac:dyDescent="0.25">
      <c r="A172" s="6">
        <v>45716</v>
      </c>
      <c r="B172">
        <v>8.94</v>
      </c>
      <c r="C172">
        <v>8.94</v>
      </c>
      <c r="D172">
        <v>8.64</v>
      </c>
      <c r="E172">
        <v>8.6999999999999993</v>
      </c>
      <c r="F172" s="7"/>
    </row>
    <row r="173" spans="1:6" x14ac:dyDescent="0.25">
      <c r="A173" s="6">
        <v>45719</v>
      </c>
      <c r="B173">
        <v>8.65</v>
      </c>
      <c r="C173">
        <v>8.7799999999999994</v>
      </c>
      <c r="D173">
        <v>8.19</v>
      </c>
      <c r="E173">
        <v>8.4499999999999993</v>
      </c>
      <c r="F173" s="7"/>
    </row>
    <row r="174" spans="1:6" x14ac:dyDescent="0.25">
      <c r="A174" s="6">
        <v>45720</v>
      </c>
      <c r="B174">
        <v>8.4</v>
      </c>
      <c r="C174">
        <v>8.4600000000000009</v>
      </c>
      <c r="D174">
        <v>8.08</v>
      </c>
      <c r="E174">
        <v>8.36</v>
      </c>
      <c r="F174" s="7"/>
    </row>
    <row r="175" spans="1:6" x14ac:dyDescent="0.25">
      <c r="A175" s="6">
        <v>45721</v>
      </c>
      <c r="B175">
        <v>8.27</v>
      </c>
      <c r="C175">
        <v>8.6</v>
      </c>
      <c r="D175">
        <v>8.1300000000000008</v>
      </c>
      <c r="E175">
        <v>8.4</v>
      </c>
      <c r="F175" s="7"/>
    </row>
    <row r="176" spans="1:6" x14ac:dyDescent="0.25">
      <c r="A176" s="6">
        <v>45722</v>
      </c>
      <c r="B176">
        <v>8.1999999999999993</v>
      </c>
      <c r="C176">
        <v>8.2100000000000009</v>
      </c>
      <c r="D176">
        <v>7.96</v>
      </c>
      <c r="E176">
        <v>8.14</v>
      </c>
      <c r="F176" s="7"/>
    </row>
    <row r="177" spans="1:6" x14ac:dyDescent="0.25">
      <c r="A177" s="6">
        <v>45723</v>
      </c>
      <c r="B177">
        <v>8.1</v>
      </c>
      <c r="C177">
        <v>8.1</v>
      </c>
      <c r="D177">
        <v>7.89</v>
      </c>
      <c r="E177">
        <v>7.93</v>
      </c>
      <c r="F177" s="7"/>
    </row>
    <row r="178" spans="1:6" x14ac:dyDescent="0.25">
      <c r="A178" s="6">
        <v>45726</v>
      </c>
      <c r="B178">
        <v>7.96</v>
      </c>
      <c r="C178">
        <v>8.18</v>
      </c>
      <c r="D178">
        <v>7.92</v>
      </c>
      <c r="E178">
        <v>8.02</v>
      </c>
      <c r="F178" s="7"/>
    </row>
    <row r="179" spans="1:6" x14ac:dyDescent="0.25">
      <c r="A179" s="6">
        <v>45727</v>
      </c>
      <c r="B179">
        <v>7.9</v>
      </c>
      <c r="C179">
        <v>7.9</v>
      </c>
      <c r="D179">
        <v>7.4</v>
      </c>
      <c r="E179">
        <v>7.55</v>
      </c>
      <c r="F179" s="7"/>
    </row>
    <row r="180" spans="1:6" x14ac:dyDescent="0.25">
      <c r="A180" s="6">
        <v>45728</v>
      </c>
      <c r="B180">
        <v>7.27</v>
      </c>
      <c r="C180">
        <v>7.47</v>
      </c>
      <c r="D180">
        <v>7.17</v>
      </c>
      <c r="E180">
        <v>7.42</v>
      </c>
      <c r="F180" s="7"/>
    </row>
    <row r="181" spans="1:6" x14ac:dyDescent="0.25">
      <c r="A181" s="6">
        <v>45729</v>
      </c>
      <c r="B181">
        <v>7.46</v>
      </c>
      <c r="C181">
        <v>7.53</v>
      </c>
      <c r="D181">
        <v>7.31</v>
      </c>
      <c r="E181">
        <v>7.4</v>
      </c>
      <c r="F181" s="7"/>
    </row>
    <row r="182" spans="1:6" x14ac:dyDescent="0.25">
      <c r="A182" s="6">
        <v>45730</v>
      </c>
      <c r="B182">
        <v>7.5</v>
      </c>
      <c r="C182">
        <v>7.5</v>
      </c>
      <c r="D182">
        <v>7.23</v>
      </c>
      <c r="E182">
        <v>7.4</v>
      </c>
      <c r="F182" s="7"/>
    </row>
    <row r="183" spans="1:6" x14ac:dyDescent="0.25">
      <c r="A183" s="6">
        <v>45733</v>
      </c>
      <c r="B183">
        <v>7.4</v>
      </c>
      <c r="C183">
        <v>7.7</v>
      </c>
      <c r="D183">
        <v>7.4</v>
      </c>
      <c r="E183">
        <v>7.65</v>
      </c>
      <c r="F183" s="7"/>
    </row>
    <row r="184" spans="1:6" x14ac:dyDescent="0.25">
      <c r="A184" s="6">
        <v>45734</v>
      </c>
      <c r="B184">
        <v>7.7750000000000004</v>
      </c>
      <c r="C184">
        <v>7.98</v>
      </c>
      <c r="D184">
        <v>7.69</v>
      </c>
      <c r="E184">
        <v>7.9</v>
      </c>
      <c r="F184" s="7"/>
    </row>
    <row r="185" spans="1:6" x14ac:dyDescent="0.25">
      <c r="A185" s="6">
        <v>45735</v>
      </c>
      <c r="B185">
        <v>7.82</v>
      </c>
      <c r="C185">
        <v>7.83</v>
      </c>
      <c r="D185">
        <v>7.35</v>
      </c>
      <c r="E185">
        <v>7.49</v>
      </c>
      <c r="F185" s="7"/>
    </row>
    <row r="186" spans="1:6" x14ac:dyDescent="0.25">
      <c r="A186" s="6">
        <v>45736</v>
      </c>
      <c r="B186">
        <v>7.55</v>
      </c>
      <c r="C186">
        <v>7.61</v>
      </c>
      <c r="D186">
        <v>7.45</v>
      </c>
      <c r="E186">
        <v>7.5</v>
      </c>
      <c r="F186" s="7"/>
    </row>
    <row r="187" spans="1:6" x14ac:dyDescent="0.25">
      <c r="A187" s="6">
        <v>45737</v>
      </c>
      <c r="B187">
        <v>7.58</v>
      </c>
      <c r="C187">
        <v>7.6749999999999998</v>
      </c>
      <c r="D187">
        <v>7.49</v>
      </c>
      <c r="E187">
        <v>7.53</v>
      </c>
      <c r="F187" s="7"/>
    </row>
    <row r="188" spans="1:6" x14ac:dyDescent="0.25">
      <c r="A188" s="6">
        <v>45740</v>
      </c>
      <c r="B188">
        <v>7.51</v>
      </c>
      <c r="C188">
        <v>7.74</v>
      </c>
      <c r="D188">
        <v>7.49</v>
      </c>
      <c r="E188">
        <v>7.59</v>
      </c>
      <c r="F188" s="7"/>
    </row>
    <row r="189" spans="1:6" x14ac:dyDescent="0.25">
      <c r="A189" s="6">
        <v>45741</v>
      </c>
      <c r="B189">
        <v>7.7</v>
      </c>
      <c r="C189">
        <v>7.95</v>
      </c>
      <c r="D189">
        <v>7.64</v>
      </c>
      <c r="E189">
        <v>7.95</v>
      </c>
      <c r="F189" s="7"/>
    </row>
    <row r="190" spans="1:6" x14ac:dyDescent="0.25">
      <c r="A190" s="6">
        <v>45742</v>
      </c>
      <c r="B190">
        <v>8.0399999999999991</v>
      </c>
      <c r="C190">
        <v>8.2200000000000006</v>
      </c>
      <c r="D190">
        <v>7.95</v>
      </c>
      <c r="E190">
        <v>8.0399999999999991</v>
      </c>
      <c r="F190" s="7"/>
    </row>
    <row r="191" spans="1:6" x14ac:dyDescent="0.25">
      <c r="A191" s="6">
        <v>45743</v>
      </c>
      <c r="B191">
        <v>8.0500000000000007</v>
      </c>
      <c r="C191">
        <v>8.06</v>
      </c>
      <c r="D191">
        <v>7.86</v>
      </c>
      <c r="E191">
        <v>8</v>
      </c>
      <c r="F191" s="7"/>
    </row>
    <row r="192" spans="1:6" x14ac:dyDescent="0.25">
      <c r="A192" s="6">
        <v>45744</v>
      </c>
      <c r="B192">
        <v>7.6</v>
      </c>
      <c r="C192">
        <v>8.1349999999999998</v>
      </c>
      <c r="D192">
        <v>7.6</v>
      </c>
      <c r="E192">
        <v>8.1199999999999992</v>
      </c>
      <c r="F192" s="7"/>
    </row>
    <row r="193" spans="1:6" x14ac:dyDescent="0.25">
      <c r="A193" s="6">
        <v>45747</v>
      </c>
      <c r="B193">
        <v>8.0500000000000007</v>
      </c>
      <c r="C193">
        <v>8.08</v>
      </c>
      <c r="D193">
        <v>7.51</v>
      </c>
      <c r="E193">
        <v>7.72</v>
      </c>
      <c r="F193" s="7"/>
    </row>
    <row r="194" spans="1:6" x14ac:dyDescent="0.25">
      <c r="A194" s="6">
        <v>45748</v>
      </c>
      <c r="B194">
        <v>7.51</v>
      </c>
      <c r="C194">
        <v>7.6950000000000003</v>
      </c>
      <c r="D194">
        <v>7.45</v>
      </c>
      <c r="E194">
        <v>7.46</v>
      </c>
      <c r="F194" s="7"/>
    </row>
    <row r="195" spans="1:6" x14ac:dyDescent="0.25">
      <c r="A195" s="6">
        <v>45749</v>
      </c>
      <c r="B195">
        <v>7.55</v>
      </c>
      <c r="C195">
        <v>7.55</v>
      </c>
      <c r="D195">
        <v>7.34</v>
      </c>
      <c r="E195">
        <v>7.4</v>
      </c>
      <c r="F195" s="7"/>
    </row>
    <row r="196" spans="1:6" x14ac:dyDescent="0.25">
      <c r="A196" s="6">
        <v>45750</v>
      </c>
      <c r="B196">
        <v>7.4</v>
      </c>
      <c r="C196">
        <v>7.57</v>
      </c>
      <c r="D196">
        <v>7.21</v>
      </c>
      <c r="E196">
        <v>7.53</v>
      </c>
      <c r="F196" s="7"/>
    </row>
    <row r="197" spans="1:6" x14ac:dyDescent="0.25">
      <c r="A197" s="6">
        <v>45751</v>
      </c>
      <c r="B197">
        <v>7.39</v>
      </c>
      <c r="C197">
        <v>7.51</v>
      </c>
      <c r="D197">
        <v>7.03</v>
      </c>
      <c r="E197">
        <v>7.2</v>
      </c>
      <c r="F197" s="7"/>
    </row>
    <row r="198" spans="1:6" x14ac:dyDescent="0.25">
      <c r="A198" s="6">
        <v>45754</v>
      </c>
      <c r="B198">
        <v>6.7</v>
      </c>
      <c r="C198">
        <v>7</v>
      </c>
      <c r="D198">
        <v>6.58</v>
      </c>
      <c r="E198">
        <v>6.95</v>
      </c>
      <c r="F198" s="7"/>
    </row>
    <row r="199" spans="1:6" x14ac:dyDescent="0.25">
      <c r="A199" s="6">
        <v>45755</v>
      </c>
      <c r="B199">
        <v>6.91</v>
      </c>
      <c r="C199">
        <v>7.12</v>
      </c>
      <c r="D199">
        <v>6.84</v>
      </c>
      <c r="E199">
        <v>6.91</v>
      </c>
      <c r="F199" s="7"/>
    </row>
    <row r="200" spans="1:6" x14ac:dyDescent="0.25">
      <c r="A200" s="6">
        <v>45756</v>
      </c>
      <c r="B200">
        <v>6.91</v>
      </c>
      <c r="C200">
        <v>6.99</v>
      </c>
      <c r="D200">
        <v>6.74</v>
      </c>
      <c r="E200">
        <v>6.86</v>
      </c>
      <c r="F200" s="7"/>
    </row>
    <row r="201" spans="1:6" x14ac:dyDescent="0.25">
      <c r="A201" s="6">
        <v>45757</v>
      </c>
      <c r="B201">
        <v>7.15</v>
      </c>
      <c r="C201">
        <v>7.5</v>
      </c>
      <c r="D201">
        <v>7.15</v>
      </c>
      <c r="E201">
        <v>7.45</v>
      </c>
      <c r="F201" s="7"/>
    </row>
    <row r="202" spans="1:6" x14ac:dyDescent="0.25">
      <c r="A202" s="6">
        <v>45758</v>
      </c>
      <c r="B202">
        <v>7.41</v>
      </c>
      <c r="C202">
        <v>7.41</v>
      </c>
      <c r="D202">
        <v>7.14</v>
      </c>
      <c r="E202">
        <v>7.2</v>
      </c>
      <c r="F202" s="7"/>
    </row>
    <row r="203" spans="1:6" x14ac:dyDescent="0.25">
      <c r="A203" s="6">
        <v>45761</v>
      </c>
      <c r="B203">
        <v>7.25</v>
      </c>
      <c r="C203">
        <v>7.5</v>
      </c>
      <c r="D203">
        <v>7.19</v>
      </c>
      <c r="E203">
        <v>7.34</v>
      </c>
      <c r="F203" s="7"/>
    </row>
    <row r="204" spans="1:6" x14ac:dyDescent="0.25">
      <c r="A204" s="6">
        <v>45762</v>
      </c>
      <c r="B204">
        <v>7.33</v>
      </c>
      <c r="C204">
        <v>7.54</v>
      </c>
      <c r="D204">
        <v>7.33</v>
      </c>
      <c r="E204">
        <v>7.46</v>
      </c>
      <c r="F204" s="7"/>
    </row>
    <row r="205" spans="1:6" x14ac:dyDescent="0.25">
      <c r="A205" s="6">
        <v>45763</v>
      </c>
      <c r="B205">
        <v>7.55</v>
      </c>
      <c r="C205">
        <v>7.56</v>
      </c>
      <c r="D205">
        <v>7.28</v>
      </c>
      <c r="E205">
        <v>7.5</v>
      </c>
      <c r="F205" s="7"/>
    </row>
    <row r="206" spans="1:6" x14ac:dyDescent="0.25">
      <c r="A206" s="6">
        <v>45764</v>
      </c>
      <c r="B206">
        <v>7.53</v>
      </c>
      <c r="C206">
        <v>7.67</v>
      </c>
      <c r="D206">
        <v>7.32</v>
      </c>
      <c r="E206">
        <v>7.45</v>
      </c>
      <c r="F206" s="7"/>
    </row>
    <row r="207" spans="1:6" x14ac:dyDescent="0.25">
      <c r="A207" s="6">
        <v>45769</v>
      </c>
      <c r="B207">
        <v>7.45</v>
      </c>
      <c r="C207">
        <v>7.51</v>
      </c>
      <c r="D207">
        <v>7.3</v>
      </c>
      <c r="E207">
        <v>7.34</v>
      </c>
      <c r="F207" s="7"/>
    </row>
    <row r="208" spans="1:6" x14ac:dyDescent="0.25">
      <c r="A208" s="6">
        <v>45770</v>
      </c>
      <c r="B208">
        <v>7.38</v>
      </c>
      <c r="C208">
        <v>8</v>
      </c>
      <c r="D208">
        <v>7.38</v>
      </c>
      <c r="E208">
        <v>7.76</v>
      </c>
      <c r="F208" s="7"/>
    </row>
    <row r="209" spans="1:6" x14ac:dyDescent="0.25">
      <c r="A209" s="6">
        <v>45771</v>
      </c>
      <c r="B209">
        <v>7.76</v>
      </c>
      <c r="C209">
        <v>7.86</v>
      </c>
      <c r="D209">
        <v>7.55</v>
      </c>
      <c r="E209">
        <v>7.65</v>
      </c>
      <c r="F209" s="7"/>
    </row>
    <row r="210" spans="1:6" x14ac:dyDescent="0.25">
      <c r="A210" s="6">
        <v>45775</v>
      </c>
      <c r="B210">
        <v>7.88</v>
      </c>
      <c r="C210">
        <v>7.88</v>
      </c>
      <c r="D210">
        <v>7.5</v>
      </c>
      <c r="E210">
        <v>7.65</v>
      </c>
      <c r="F210" s="7"/>
    </row>
    <row r="211" spans="1:6" x14ac:dyDescent="0.25">
      <c r="A211" s="6">
        <v>45776</v>
      </c>
      <c r="B211">
        <v>7.73</v>
      </c>
      <c r="C211">
        <v>7.87</v>
      </c>
      <c r="D211">
        <v>7.65</v>
      </c>
      <c r="E211">
        <v>7.87</v>
      </c>
      <c r="F211" s="7"/>
    </row>
    <row r="212" spans="1:6" x14ac:dyDescent="0.25">
      <c r="A212" s="6">
        <v>45777</v>
      </c>
      <c r="B212">
        <v>8.0299999999999994</v>
      </c>
      <c r="C212">
        <v>8.0299999999999994</v>
      </c>
      <c r="D212">
        <v>7.65</v>
      </c>
      <c r="E212">
        <v>7.74</v>
      </c>
      <c r="F212" s="7"/>
    </row>
    <row r="213" spans="1:6" x14ac:dyDescent="0.25">
      <c r="A213" s="6">
        <v>45778</v>
      </c>
      <c r="B213">
        <v>7.85</v>
      </c>
      <c r="C213">
        <v>7.95</v>
      </c>
      <c r="D213">
        <v>7.65</v>
      </c>
      <c r="E213">
        <v>7.65</v>
      </c>
      <c r="F213" s="7"/>
    </row>
    <row r="214" spans="1:6" x14ac:dyDescent="0.25">
      <c r="A214" s="6">
        <v>45779</v>
      </c>
      <c r="B214">
        <v>7.66</v>
      </c>
      <c r="C214">
        <v>7.91</v>
      </c>
      <c r="D214">
        <v>7.63</v>
      </c>
      <c r="E214">
        <v>7.81</v>
      </c>
      <c r="F214" s="7"/>
    </row>
    <row r="215" spans="1:6" x14ac:dyDescent="0.25">
      <c r="A215" s="6">
        <v>45782</v>
      </c>
      <c r="B215">
        <v>7.88</v>
      </c>
      <c r="C215">
        <v>7.95</v>
      </c>
      <c r="D215">
        <v>7.65</v>
      </c>
      <c r="E215">
        <v>7.67</v>
      </c>
      <c r="F215" s="7"/>
    </row>
    <row r="216" spans="1:6" x14ac:dyDescent="0.25">
      <c r="A216" s="6">
        <v>45783</v>
      </c>
      <c r="B216">
        <v>7.63</v>
      </c>
      <c r="C216">
        <v>7.91</v>
      </c>
      <c r="D216">
        <v>7.53</v>
      </c>
      <c r="E216">
        <v>7.79</v>
      </c>
      <c r="F216" s="7"/>
    </row>
    <row r="217" spans="1:6" x14ac:dyDescent="0.25">
      <c r="A217" s="6">
        <v>45784</v>
      </c>
      <c r="B217">
        <v>7.83</v>
      </c>
      <c r="C217">
        <v>7.94</v>
      </c>
      <c r="D217">
        <v>7.58</v>
      </c>
      <c r="E217">
        <v>7.86</v>
      </c>
      <c r="F217" s="7"/>
    </row>
    <row r="218" spans="1:6" x14ac:dyDescent="0.25">
      <c r="A218" s="6">
        <v>45785</v>
      </c>
      <c r="B218">
        <v>7.92</v>
      </c>
      <c r="C218">
        <v>7.92</v>
      </c>
      <c r="D218">
        <v>7.7649999999999997</v>
      </c>
      <c r="E218">
        <v>7.9</v>
      </c>
      <c r="F218" s="7"/>
    </row>
    <row r="219" spans="1:6" x14ac:dyDescent="0.25">
      <c r="A219" s="6">
        <v>45786</v>
      </c>
      <c r="B219">
        <v>7.9349999999999996</v>
      </c>
      <c r="C219">
        <v>8.01</v>
      </c>
      <c r="D219">
        <v>7.78</v>
      </c>
      <c r="E219">
        <v>7.94</v>
      </c>
      <c r="F219" s="7"/>
    </row>
    <row r="220" spans="1:6" x14ac:dyDescent="0.25">
      <c r="A220" s="6">
        <v>45789</v>
      </c>
      <c r="B220">
        <v>7.98</v>
      </c>
      <c r="C220">
        <v>8.24</v>
      </c>
      <c r="D220">
        <v>7.98</v>
      </c>
      <c r="E220">
        <v>8.17</v>
      </c>
      <c r="F220" s="7"/>
    </row>
    <row r="221" spans="1:6" x14ac:dyDescent="0.25">
      <c r="A221" s="6">
        <v>45790</v>
      </c>
      <c r="B221">
        <v>8.1999999999999993</v>
      </c>
      <c r="C221">
        <v>8.66</v>
      </c>
      <c r="D221">
        <v>8.1999999999999993</v>
      </c>
      <c r="E221">
        <v>8.64</v>
      </c>
      <c r="F221" s="7"/>
    </row>
    <row r="222" spans="1:6" x14ac:dyDescent="0.25">
      <c r="A222" s="6">
        <v>45791</v>
      </c>
      <c r="B222">
        <v>8.7200000000000006</v>
      </c>
      <c r="C222">
        <v>8.73</v>
      </c>
      <c r="D222">
        <v>8.23</v>
      </c>
      <c r="E222">
        <v>8.2899999999999991</v>
      </c>
      <c r="F222" s="7"/>
    </row>
    <row r="223" spans="1:6" x14ac:dyDescent="0.25">
      <c r="A223" s="6">
        <v>45792</v>
      </c>
      <c r="B223">
        <v>8</v>
      </c>
      <c r="C223">
        <v>8.58</v>
      </c>
      <c r="D223">
        <v>8</v>
      </c>
      <c r="E223">
        <v>8.4</v>
      </c>
      <c r="F223" s="7"/>
    </row>
    <row r="224" spans="1:6" x14ac:dyDescent="0.25">
      <c r="A224" s="6">
        <v>45793</v>
      </c>
      <c r="B224">
        <v>8.41</v>
      </c>
      <c r="C224">
        <v>8.42</v>
      </c>
      <c r="D224">
        <v>8.27</v>
      </c>
      <c r="E224">
        <v>8.35</v>
      </c>
      <c r="F224" s="7"/>
    </row>
    <row r="225" spans="1:6" x14ac:dyDescent="0.25">
      <c r="A225" s="6">
        <v>45796</v>
      </c>
      <c r="B225">
        <v>8.3000000000000007</v>
      </c>
      <c r="C225">
        <v>8.3000000000000007</v>
      </c>
      <c r="D225">
        <v>8.14</v>
      </c>
      <c r="E225">
        <v>8.16</v>
      </c>
      <c r="F225" s="7"/>
    </row>
    <row r="226" spans="1:6" x14ac:dyDescent="0.25">
      <c r="A226" s="6">
        <v>45797</v>
      </c>
      <c r="B226">
        <v>8.2349999999999994</v>
      </c>
      <c r="C226">
        <v>8.2799999999999994</v>
      </c>
      <c r="D226">
        <v>8.1</v>
      </c>
      <c r="E226">
        <v>8.18</v>
      </c>
      <c r="F226" s="7"/>
    </row>
    <row r="227" spans="1:6" x14ac:dyDescent="0.25">
      <c r="A227" s="6">
        <v>45798</v>
      </c>
      <c r="B227">
        <v>8.19</v>
      </c>
      <c r="C227">
        <v>8.24</v>
      </c>
      <c r="D227">
        <v>7.65</v>
      </c>
      <c r="E227">
        <v>7.71</v>
      </c>
      <c r="F227" s="7"/>
    </row>
    <row r="228" spans="1:6" x14ac:dyDescent="0.25">
      <c r="A228" s="6">
        <v>45799</v>
      </c>
      <c r="B228">
        <v>7.74</v>
      </c>
      <c r="C228">
        <v>7.74</v>
      </c>
      <c r="D228">
        <v>7.53</v>
      </c>
      <c r="E228">
        <v>7.61</v>
      </c>
      <c r="F228" s="7"/>
    </row>
    <row r="229" spans="1:6" x14ac:dyDescent="0.25">
      <c r="A229" s="6">
        <v>45800</v>
      </c>
      <c r="B229">
        <v>7.66</v>
      </c>
      <c r="C229">
        <v>7.7</v>
      </c>
      <c r="D229">
        <v>7.6</v>
      </c>
      <c r="E229">
        <v>7.65</v>
      </c>
      <c r="F229" s="7"/>
    </row>
    <row r="230" spans="1:6" x14ac:dyDescent="0.25">
      <c r="A230" s="6">
        <v>45803</v>
      </c>
      <c r="B230">
        <v>7.6</v>
      </c>
      <c r="C230">
        <v>7.84</v>
      </c>
      <c r="D230">
        <v>7.06</v>
      </c>
      <c r="E230">
        <v>7.42</v>
      </c>
      <c r="F230" s="7"/>
    </row>
    <row r="231" spans="1:6" x14ac:dyDescent="0.25">
      <c r="A231" s="6">
        <v>45804</v>
      </c>
      <c r="B231">
        <v>7.38</v>
      </c>
      <c r="C231">
        <v>7.49</v>
      </c>
      <c r="D231">
        <v>7.1</v>
      </c>
      <c r="E231">
        <v>7.28</v>
      </c>
      <c r="F231" s="7"/>
    </row>
    <row r="232" spans="1:6" x14ac:dyDescent="0.25">
      <c r="A232" s="6">
        <v>45805</v>
      </c>
      <c r="B232">
        <v>7.3</v>
      </c>
      <c r="C232">
        <v>7.5</v>
      </c>
      <c r="D232">
        <v>7.24</v>
      </c>
      <c r="E232">
        <v>7.49</v>
      </c>
      <c r="F232" s="7"/>
    </row>
    <row r="233" spans="1:6" x14ac:dyDescent="0.25">
      <c r="A233" s="6">
        <v>45806</v>
      </c>
      <c r="B233">
        <v>7.49</v>
      </c>
      <c r="C233">
        <v>7.68</v>
      </c>
      <c r="D233">
        <v>7.25</v>
      </c>
      <c r="E233">
        <v>7.51</v>
      </c>
      <c r="F233" s="7"/>
    </row>
    <row r="234" spans="1:6" x14ac:dyDescent="0.25">
      <c r="A234" s="6">
        <v>45807</v>
      </c>
      <c r="B234">
        <v>7.52</v>
      </c>
      <c r="C234">
        <v>7.94</v>
      </c>
      <c r="D234">
        <v>7.37</v>
      </c>
      <c r="E234">
        <v>7.77</v>
      </c>
      <c r="F234" s="7"/>
    </row>
    <row r="235" spans="1:6" x14ac:dyDescent="0.25">
      <c r="A235" s="6">
        <v>45810</v>
      </c>
      <c r="B235">
        <v>7.82</v>
      </c>
      <c r="C235">
        <v>7.96</v>
      </c>
      <c r="D235">
        <v>7.51</v>
      </c>
      <c r="E235">
        <v>7.58</v>
      </c>
      <c r="F235" s="7"/>
    </row>
    <row r="236" spans="1:6" x14ac:dyDescent="0.25">
      <c r="A236" s="6">
        <v>45811</v>
      </c>
      <c r="B236">
        <v>7.58</v>
      </c>
      <c r="C236">
        <v>7.73</v>
      </c>
      <c r="D236">
        <v>7.49</v>
      </c>
      <c r="E236">
        <v>7.6</v>
      </c>
      <c r="F236" s="7"/>
    </row>
    <row r="237" spans="1:6" x14ac:dyDescent="0.25">
      <c r="A237" s="6">
        <v>45812</v>
      </c>
      <c r="B237">
        <v>7.81</v>
      </c>
      <c r="C237">
        <v>7.93</v>
      </c>
      <c r="D237">
        <v>7.61</v>
      </c>
      <c r="E237">
        <v>7.88</v>
      </c>
      <c r="F237" s="7"/>
    </row>
    <row r="238" spans="1:6" x14ac:dyDescent="0.25">
      <c r="A238" s="6">
        <v>45813</v>
      </c>
      <c r="B238">
        <v>7.88</v>
      </c>
      <c r="C238">
        <v>7.97</v>
      </c>
      <c r="D238">
        <v>7.8</v>
      </c>
      <c r="E238">
        <v>7.85</v>
      </c>
      <c r="F238" s="7"/>
    </row>
    <row r="239" spans="1:6" x14ac:dyDescent="0.25">
      <c r="A239" s="6">
        <v>45814</v>
      </c>
      <c r="B239">
        <v>7.8</v>
      </c>
      <c r="C239">
        <v>7.98</v>
      </c>
      <c r="D239">
        <v>7.8</v>
      </c>
      <c r="E239">
        <v>7.85</v>
      </c>
      <c r="F239" s="7"/>
    </row>
    <row r="240" spans="1:6" x14ac:dyDescent="0.25">
      <c r="A240" s="6">
        <v>45818</v>
      </c>
      <c r="B240">
        <v>7.97</v>
      </c>
      <c r="C240">
        <v>7.97</v>
      </c>
      <c r="D240">
        <v>7.72</v>
      </c>
      <c r="E240">
        <v>7.84</v>
      </c>
      <c r="F240" s="7"/>
    </row>
    <row r="241" spans="1:6" x14ac:dyDescent="0.25">
      <c r="A241" s="6">
        <v>45819</v>
      </c>
      <c r="B241">
        <v>7.84</v>
      </c>
      <c r="C241">
        <v>7.86</v>
      </c>
      <c r="D241">
        <v>7.7350000000000003</v>
      </c>
      <c r="E241">
        <v>7.76</v>
      </c>
      <c r="F241" s="7"/>
    </row>
    <row r="242" spans="1:6" x14ac:dyDescent="0.25">
      <c r="A242" s="6">
        <v>45820</v>
      </c>
      <c r="B242">
        <v>7.8</v>
      </c>
      <c r="C242">
        <v>7.8</v>
      </c>
      <c r="D242">
        <v>7.58</v>
      </c>
      <c r="E242">
        <v>7.58</v>
      </c>
      <c r="F242" s="7"/>
    </row>
    <row r="243" spans="1:6" x14ac:dyDescent="0.25">
      <c r="A243" s="6">
        <v>45821</v>
      </c>
      <c r="B243">
        <v>7.59</v>
      </c>
      <c r="C243">
        <v>7.59</v>
      </c>
      <c r="D243">
        <v>7.16</v>
      </c>
      <c r="E243">
        <v>7.4</v>
      </c>
      <c r="F243" s="7"/>
    </row>
    <row r="244" spans="1:6" x14ac:dyDescent="0.25">
      <c r="A244" s="6">
        <v>45824</v>
      </c>
      <c r="B244">
        <v>7.4</v>
      </c>
      <c r="C244">
        <v>7.54</v>
      </c>
      <c r="D244">
        <v>7.32</v>
      </c>
      <c r="E244">
        <v>7.46</v>
      </c>
      <c r="F244" s="7"/>
    </row>
    <row r="245" spans="1:6" x14ac:dyDescent="0.25">
      <c r="A245" s="6">
        <v>45825</v>
      </c>
      <c r="B245">
        <v>7.47</v>
      </c>
      <c r="C245">
        <v>7.78</v>
      </c>
      <c r="D245">
        <v>7.46</v>
      </c>
      <c r="E245">
        <v>7.78</v>
      </c>
      <c r="F245" s="7"/>
    </row>
    <row r="246" spans="1:6" x14ac:dyDescent="0.25">
      <c r="A246" s="6">
        <v>45826</v>
      </c>
      <c r="B246">
        <v>7.8</v>
      </c>
      <c r="C246">
        <v>7.81</v>
      </c>
      <c r="D246">
        <v>7.4</v>
      </c>
      <c r="E246">
        <v>7.59</v>
      </c>
      <c r="F246" s="7"/>
    </row>
    <row r="247" spans="1:6" x14ac:dyDescent="0.25">
      <c r="A247" s="6">
        <v>45827</v>
      </c>
      <c r="B247">
        <v>7.6</v>
      </c>
      <c r="C247">
        <v>7.6</v>
      </c>
      <c r="D247">
        <v>7.36</v>
      </c>
      <c r="E247">
        <v>7.43</v>
      </c>
      <c r="F247" s="7"/>
    </row>
    <row r="248" spans="1:6" x14ac:dyDescent="0.25">
      <c r="A248" s="6">
        <v>45828</v>
      </c>
      <c r="B248">
        <v>7.43</v>
      </c>
      <c r="C248">
        <v>7.43</v>
      </c>
      <c r="D248">
        <v>7.3</v>
      </c>
      <c r="E248">
        <v>7.38</v>
      </c>
      <c r="F248" s="7"/>
    </row>
    <row r="249" spans="1:6" x14ac:dyDescent="0.25">
      <c r="A249" s="6">
        <v>45831</v>
      </c>
      <c r="B249">
        <v>7.36</v>
      </c>
      <c r="C249">
        <v>7.42</v>
      </c>
      <c r="D249">
        <v>7.1</v>
      </c>
      <c r="E249">
        <v>7.36</v>
      </c>
      <c r="F249" s="7"/>
    </row>
    <row r="250" spans="1:6" x14ac:dyDescent="0.25">
      <c r="A250" s="6">
        <v>45832</v>
      </c>
      <c r="B250">
        <v>7.3</v>
      </c>
      <c r="C250">
        <v>7.45</v>
      </c>
      <c r="D250">
        <v>7.21</v>
      </c>
      <c r="E250">
        <v>7.27</v>
      </c>
      <c r="F250" s="7"/>
    </row>
    <row r="251" spans="1:6" x14ac:dyDescent="0.25">
      <c r="A251" s="6">
        <v>45833</v>
      </c>
      <c r="B251">
        <v>7.28</v>
      </c>
      <c r="C251">
        <v>7.44</v>
      </c>
      <c r="D251">
        <v>7.23</v>
      </c>
      <c r="E251">
        <v>7.35</v>
      </c>
      <c r="F251" s="7"/>
    </row>
    <row r="252" spans="1:6" x14ac:dyDescent="0.25">
      <c r="A252" s="6">
        <v>45834</v>
      </c>
      <c r="B252">
        <v>7.3</v>
      </c>
      <c r="C252">
        <v>7.51</v>
      </c>
      <c r="D252">
        <v>7.27</v>
      </c>
      <c r="E252">
        <v>7.44</v>
      </c>
      <c r="F252" s="7"/>
    </row>
    <row r="253" spans="1:6" x14ac:dyDescent="0.25">
      <c r="A253" s="6">
        <v>45835</v>
      </c>
      <c r="B253">
        <v>7.36</v>
      </c>
      <c r="C253">
        <v>7.65</v>
      </c>
      <c r="D253">
        <v>7.33</v>
      </c>
      <c r="E253">
        <v>7.61</v>
      </c>
      <c r="F253" s="7"/>
    </row>
    <row r="254" spans="1:6" x14ac:dyDescent="0.25">
      <c r="A254" s="6">
        <v>45838</v>
      </c>
      <c r="B254">
        <v>7.61</v>
      </c>
      <c r="C254">
        <v>7.8</v>
      </c>
      <c r="D254">
        <v>7.51</v>
      </c>
      <c r="E254">
        <v>7.78</v>
      </c>
      <c r="F254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4"/>
  <sheetViews>
    <sheetView zoomScale="70" zoomScaleNormal="70" workbookViewId="0">
      <selection activeCell="T26" sqref="T26"/>
    </sheetView>
  </sheetViews>
  <sheetFormatPr defaultRowHeight="13.2" x14ac:dyDescent="0.25"/>
  <cols>
    <col min="1" max="1" width="18.5546875" style="1" customWidth="1"/>
    <col min="2" max="2" width="27.77734375" style="2" customWidth="1"/>
    <col min="3" max="3" width="18.5546875" style="2" customWidth="1"/>
    <col min="4" max="4" width="12.5546875" bestFit="1" customWidth="1"/>
    <col min="5" max="5" width="16.88671875" bestFit="1" customWidth="1"/>
    <col min="6" max="6" width="19.21875" bestFit="1" customWidth="1"/>
    <col min="7" max="7" width="19" bestFit="1" customWidth="1"/>
  </cols>
  <sheetData>
    <row r="1" spans="1:7" ht="14.4" x14ac:dyDescent="0.3">
      <c r="A1" s="3" t="s">
        <v>2</v>
      </c>
      <c r="B1" s="3" t="s">
        <v>8</v>
      </c>
      <c r="C1" s="3" t="s">
        <v>9</v>
      </c>
    </row>
    <row r="2" spans="1:7" x14ac:dyDescent="0.25">
      <c r="A2" s="1">
        <v>45474</v>
      </c>
      <c r="B2" s="4">
        <v>379.77</v>
      </c>
      <c r="C2" s="4">
        <v>76720810</v>
      </c>
      <c r="D2" s="9"/>
      <c r="F2" s="5"/>
      <c r="G2" s="4"/>
    </row>
    <row r="3" spans="1:7" x14ac:dyDescent="0.25">
      <c r="A3" s="1">
        <v>45475</v>
      </c>
      <c r="B3" s="4">
        <v>380.54</v>
      </c>
      <c r="C3" s="4">
        <v>76720810</v>
      </c>
      <c r="D3" s="9"/>
      <c r="F3" s="5"/>
      <c r="G3" s="4"/>
    </row>
    <row r="4" spans="1:7" x14ac:dyDescent="0.25">
      <c r="A4" s="1">
        <v>45476</v>
      </c>
      <c r="B4" s="4">
        <v>369.03</v>
      </c>
      <c r="C4" s="4">
        <v>76720810</v>
      </c>
      <c r="D4" s="9"/>
      <c r="F4" s="5"/>
      <c r="G4" s="4"/>
    </row>
    <row r="5" spans="1:7" x14ac:dyDescent="0.25">
      <c r="A5" s="1">
        <v>45477</v>
      </c>
      <c r="B5" s="4">
        <v>371.33</v>
      </c>
      <c r="C5" s="4">
        <v>76720810</v>
      </c>
      <c r="D5" s="9"/>
      <c r="F5" s="5"/>
      <c r="G5" s="4"/>
    </row>
    <row r="6" spans="1:7" x14ac:dyDescent="0.25">
      <c r="A6" s="1">
        <v>45478</v>
      </c>
      <c r="B6" s="4">
        <v>369.79</v>
      </c>
      <c r="C6" s="4">
        <v>76720810</v>
      </c>
      <c r="D6" s="9"/>
      <c r="F6" s="5"/>
      <c r="G6" s="4"/>
    </row>
    <row r="7" spans="1:7" x14ac:dyDescent="0.25">
      <c r="A7" s="1">
        <v>45481</v>
      </c>
      <c r="B7" s="4">
        <v>369.03</v>
      </c>
      <c r="C7" s="4">
        <v>76720810</v>
      </c>
      <c r="D7" s="9"/>
      <c r="F7" s="5"/>
      <c r="G7" s="4"/>
    </row>
    <row r="8" spans="1:7" x14ac:dyDescent="0.25">
      <c r="A8" s="1">
        <v>45482</v>
      </c>
      <c r="B8" s="4">
        <v>376.7</v>
      </c>
      <c r="C8" s="4">
        <v>76720810</v>
      </c>
      <c r="D8" s="9"/>
      <c r="F8" s="5"/>
      <c r="G8" s="4"/>
    </row>
    <row r="9" spans="1:7" x14ac:dyDescent="0.25">
      <c r="A9" s="1">
        <v>45483</v>
      </c>
      <c r="B9" s="4">
        <v>376.7</v>
      </c>
      <c r="C9" s="4">
        <v>76720810</v>
      </c>
      <c r="D9" s="9"/>
      <c r="F9" s="5"/>
      <c r="G9" s="4"/>
    </row>
    <row r="10" spans="1:7" x14ac:dyDescent="0.25">
      <c r="A10" s="1">
        <v>45484</v>
      </c>
      <c r="B10" s="4">
        <v>383.6</v>
      </c>
      <c r="C10" s="4">
        <v>76720810</v>
      </c>
      <c r="D10" s="9"/>
      <c r="F10" s="5"/>
      <c r="G10" s="4"/>
    </row>
    <row r="11" spans="1:7" x14ac:dyDescent="0.25">
      <c r="A11" s="1">
        <v>45485</v>
      </c>
      <c r="B11" s="4">
        <v>389.74</v>
      </c>
      <c r="C11" s="4">
        <v>76720810</v>
      </c>
      <c r="D11" s="9"/>
      <c r="F11" s="5"/>
      <c r="G11" s="4"/>
    </row>
    <row r="12" spans="1:7" x14ac:dyDescent="0.25">
      <c r="A12" s="1">
        <v>45488</v>
      </c>
      <c r="B12" s="4">
        <v>379.77</v>
      </c>
      <c r="C12" s="4">
        <v>76720810</v>
      </c>
      <c r="D12" s="9"/>
      <c r="F12" s="5"/>
      <c r="G12" s="4"/>
    </row>
    <row r="13" spans="1:7" x14ac:dyDescent="0.25">
      <c r="A13" s="1">
        <v>45489</v>
      </c>
      <c r="B13" s="4">
        <v>398.18</v>
      </c>
      <c r="C13" s="4">
        <v>76720810</v>
      </c>
      <c r="D13" s="9"/>
      <c r="F13" s="5"/>
      <c r="G13" s="4"/>
    </row>
    <row r="14" spans="1:7" x14ac:dyDescent="0.25">
      <c r="A14" s="1">
        <v>45490</v>
      </c>
      <c r="B14" s="4">
        <v>412.76</v>
      </c>
      <c r="C14" s="4">
        <v>76720810</v>
      </c>
      <c r="D14" s="9"/>
      <c r="F14" s="5"/>
      <c r="G14" s="4"/>
    </row>
    <row r="15" spans="1:7" x14ac:dyDescent="0.25">
      <c r="A15" s="1">
        <v>45491</v>
      </c>
      <c r="B15" s="4">
        <v>418.9</v>
      </c>
      <c r="C15" s="4">
        <v>76720810</v>
      </c>
      <c r="D15" s="9"/>
      <c r="F15" s="5"/>
      <c r="G15" s="4"/>
    </row>
    <row r="16" spans="1:7" x14ac:dyDescent="0.25">
      <c r="A16" s="1">
        <v>45492</v>
      </c>
      <c r="B16" s="4">
        <v>441.14</v>
      </c>
      <c r="C16" s="4">
        <v>76720810</v>
      </c>
      <c r="D16" s="9"/>
      <c r="F16" s="5"/>
      <c r="G16" s="4"/>
    </row>
    <row r="17" spans="1:7" x14ac:dyDescent="0.25">
      <c r="A17" s="1">
        <v>45495</v>
      </c>
      <c r="B17" s="4">
        <v>442.68</v>
      </c>
      <c r="C17" s="4">
        <v>76720810</v>
      </c>
      <c r="D17" s="9"/>
      <c r="F17" s="5"/>
      <c r="G17" s="4"/>
    </row>
    <row r="18" spans="1:7" x14ac:dyDescent="0.25">
      <c r="A18" s="1">
        <v>45496</v>
      </c>
      <c r="B18" s="4">
        <v>451.12</v>
      </c>
      <c r="C18" s="4">
        <v>76720810</v>
      </c>
      <c r="D18" s="9"/>
      <c r="F18" s="5"/>
      <c r="G18" s="4"/>
    </row>
    <row r="19" spans="1:7" x14ac:dyDescent="0.25">
      <c r="A19" s="1">
        <v>45497</v>
      </c>
      <c r="B19" s="4">
        <v>452.65</v>
      </c>
      <c r="C19" s="4">
        <v>76720810</v>
      </c>
      <c r="D19" s="9"/>
      <c r="F19" s="5"/>
      <c r="G19" s="4"/>
    </row>
    <row r="20" spans="1:7" x14ac:dyDescent="0.25">
      <c r="A20" s="1">
        <v>45498</v>
      </c>
      <c r="B20" s="4">
        <v>441.14</v>
      </c>
      <c r="C20" s="4">
        <v>76720810</v>
      </c>
      <c r="D20" s="9"/>
      <c r="F20" s="5"/>
      <c r="G20" s="4"/>
    </row>
    <row r="21" spans="1:7" x14ac:dyDescent="0.25">
      <c r="A21" s="1">
        <v>45499</v>
      </c>
      <c r="B21" s="4">
        <v>433.47</v>
      </c>
      <c r="C21" s="4">
        <v>76720810</v>
      </c>
      <c r="D21" s="9"/>
      <c r="F21" s="5"/>
      <c r="G21" s="4"/>
    </row>
    <row r="22" spans="1:7" x14ac:dyDescent="0.25">
      <c r="A22" s="1">
        <v>45502</v>
      </c>
      <c r="B22" s="4">
        <v>444.98</v>
      </c>
      <c r="C22" s="4">
        <v>76720810</v>
      </c>
      <c r="D22" s="9"/>
      <c r="F22" s="5"/>
      <c r="G22" s="4"/>
    </row>
    <row r="23" spans="1:7" x14ac:dyDescent="0.25">
      <c r="A23" s="1">
        <v>45503</v>
      </c>
      <c r="B23" s="4">
        <v>441.14</v>
      </c>
      <c r="C23" s="4">
        <v>76720810</v>
      </c>
      <c r="D23" s="9"/>
      <c r="F23" s="5"/>
      <c r="G23" s="4"/>
    </row>
    <row r="24" spans="1:7" x14ac:dyDescent="0.25">
      <c r="A24" s="1">
        <v>45504</v>
      </c>
      <c r="B24" s="4">
        <v>446.52</v>
      </c>
      <c r="C24" s="4">
        <v>76720810</v>
      </c>
      <c r="D24" s="9"/>
      <c r="F24" s="5"/>
      <c r="G24" s="4"/>
    </row>
    <row r="25" spans="1:7" x14ac:dyDescent="0.25">
      <c r="A25" s="1">
        <v>45505</v>
      </c>
      <c r="B25" s="4">
        <v>462.63</v>
      </c>
      <c r="C25" s="4">
        <v>76720810</v>
      </c>
      <c r="D25" s="9"/>
      <c r="F25" s="5"/>
      <c r="G25" s="4"/>
    </row>
    <row r="26" spans="1:7" x14ac:dyDescent="0.25">
      <c r="A26" s="1">
        <v>45506</v>
      </c>
      <c r="B26" s="4">
        <v>459.56</v>
      </c>
      <c r="C26" s="4">
        <v>76720810</v>
      </c>
      <c r="D26" s="9"/>
      <c r="F26" s="5"/>
      <c r="G26" s="4"/>
    </row>
    <row r="27" spans="1:7" x14ac:dyDescent="0.25">
      <c r="A27" s="1">
        <v>45509</v>
      </c>
      <c r="B27" s="4">
        <v>433.47</v>
      </c>
      <c r="C27" s="4">
        <v>76720810</v>
      </c>
      <c r="D27" s="9"/>
      <c r="F27" s="5"/>
      <c r="G27" s="4"/>
    </row>
    <row r="28" spans="1:7" x14ac:dyDescent="0.25">
      <c r="A28" s="1">
        <v>45510</v>
      </c>
      <c r="B28" s="4">
        <v>448.82</v>
      </c>
      <c r="C28" s="4">
        <v>76720810</v>
      </c>
      <c r="D28" s="9"/>
      <c r="F28" s="5"/>
      <c r="G28" s="4"/>
    </row>
    <row r="29" spans="1:7" x14ac:dyDescent="0.25">
      <c r="A29" s="1">
        <v>45511</v>
      </c>
      <c r="B29" s="4">
        <v>455.72</v>
      </c>
      <c r="C29" s="4">
        <v>76720810</v>
      </c>
      <c r="D29" s="9"/>
      <c r="F29" s="5"/>
      <c r="G29" s="4"/>
    </row>
    <row r="30" spans="1:7" x14ac:dyDescent="0.25">
      <c r="A30" s="1">
        <v>45512</v>
      </c>
      <c r="B30" s="4">
        <v>446.52</v>
      </c>
      <c r="C30" s="4">
        <v>76720810</v>
      </c>
      <c r="D30" s="9"/>
      <c r="F30" s="5"/>
      <c r="G30" s="4"/>
    </row>
    <row r="31" spans="1:7" x14ac:dyDescent="0.25">
      <c r="A31" s="1">
        <v>45513</v>
      </c>
      <c r="B31" s="4">
        <v>451.89</v>
      </c>
      <c r="C31" s="4">
        <v>76720810</v>
      </c>
      <c r="D31" s="9"/>
      <c r="F31" s="5"/>
      <c r="G31" s="4"/>
    </row>
    <row r="32" spans="1:7" x14ac:dyDescent="0.25">
      <c r="A32" s="1">
        <v>45516</v>
      </c>
      <c r="B32" s="4">
        <v>461.09</v>
      </c>
      <c r="C32" s="4">
        <v>76720810</v>
      </c>
      <c r="D32" s="9"/>
      <c r="F32" s="5"/>
      <c r="G32" s="4"/>
    </row>
    <row r="33" spans="1:7" x14ac:dyDescent="0.25">
      <c r="A33" s="1">
        <v>45517</v>
      </c>
      <c r="B33" s="4">
        <v>471.83</v>
      </c>
      <c r="C33" s="4">
        <v>76720810</v>
      </c>
      <c r="D33" s="9"/>
      <c r="F33" s="5"/>
      <c r="G33" s="4"/>
    </row>
    <row r="34" spans="1:7" x14ac:dyDescent="0.25">
      <c r="A34" s="1">
        <v>45518</v>
      </c>
      <c r="B34" s="4">
        <v>467.23</v>
      </c>
      <c r="C34" s="4">
        <v>76720810</v>
      </c>
      <c r="D34" s="9"/>
      <c r="F34" s="5"/>
      <c r="G34" s="4"/>
    </row>
    <row r="35" spans="1:7" x14ac:dyDescent="0.25">
      <c r="A35" s="1">
        <v>45519</v>
      </c>
      <c r="B35" s="4">
        <v>468</v>
      </c>
      <c r="C35" s="4">
        <v>76720810</v>
      </c>
      <c r="D35" s="9"/>
      <c r="F35" s="5"/>
      <c r="G35" s="4"/>
    </row>
    <row r="36" spans="1:7" x14ac:dyDescent="0.25">
      <c r="A36" s="1">
        <v>45520</v>
      </c>
      <c r="B36" s="4">
        <v>468</v>
      </c>
      <c r="C36" s="4">
        <v>76720810</v>
      </c>
      <c r="D36" s="9"/>
      <c r="F36" s="5"/>
      <c r="G36" s="4"/>
    </row>
    <row r="37" spans="1:7" x14ac:dyDescent="0.25">
      <c r="A37" s="1">
        <v>45523</v>
      </c>
      <c r="B37" s="4">
        <v>465.7</v>
      </c>
      <c r="C37" s="4">
        <v>76720810</v>
      </c>
      <c r="D37" s="9"/>
      <c r="F37" s="5"/>
      <c r="G37" s="4"/>
    </row>
    <row r="38" spans="1:7" x14ac:dyDescent="0.25">
      <c r="A38" s="1">
        <v>45524</v>
      </c>
      <c r="B38" s="4">
        <v>492.55</v>
      </c>
      <c r="C38" s="4">
        <v>76720810</v>
      </c>
      <c r="D38" s="9"/>
      <c r="F38" s="5"/>
      <c r="G38" s="4"/>
    </row>
    <row r="39" spans="1:7" x14ac:dyDescent="0.25">
      <c r="A39" s="1">
        <v>45525</v>
      </c>
      <c r="B39" s="4">
        <v>486.41</v>
      </c>
      <c r="C39" s="4">
        <v>76720810</v>
      </c>
      <c r="D39" s="9"/>
      <c r="F39" s="5"/>
      <c r="G39" s="4"/>
    </row>
    <row r="40" spans="1:7" x14ac:dyDescent="0.25">
      <c r="A40" s="1">
        <v>45526</v>
      </c>
      <c r="B40" s="4">
        <v>540.88</v>
      </c>
      <c r="C40" s="4">
        <v>76720810</v>
      </c>
      <c r="D40" s="9"/>
      <c r="F40" s="5"/>
      <c r="G40" s="4"/>
    </row>
    <row r="41" spans="1:7" x14ac:dyDescent="0.25">
      <c r="A41" s="1">
        <v>45527</v>
      </c>
      <c r="B41" s="4">
        <v>527.84</v>
      </c>
      <c r="C41" s="4">
        <v>76720810</v>
      </c>
      <c r="D41" s="9"/>
      <c r="F41" s="5"/>
      <c r="G41" s="4"/>
    </row>
    <row r="42" spans="1:7" x14ac:dyDescent="0.25">
      <c r="A42" s="1">
        <v>45530</v>
      </c>
      <c r="B42" s="4">
        <v>537.04999999999995</v>
      </c>
      <c r="C42" s="4">
        <v>76720810</v>
      </c>
      <c r="D42" s="9"/>
      <c r="F42" s="5"/>
      <c r="G42" s="4"/>
    </row>
    <row r="43" spans="1:7" x14ac:dyDescent="0.25">
      <c r="A43" s="1">
        <v>45531</v>
      </c>
      <c r="B43" s="4">
        <v>537.04999999999995</v>
      </c>
      <c r="C43" s="4">
        <v>76720810</v>
      </c>
      <c r="D43" s="9"/>
      <c r="F43" s="5"/>
      <c r="G43" s="4"/>
    </row>
    <row r="44" spans="1:7" x14ac:dyDescent="0.25">
      <c r="A44" s="1">
        <v>45532</v>
      </c>
      <c r="B44" s="4">
        <v>536.28</v>
      </c>
      <c r="C44" s="4">
        <v>76720810</v>
      </c>
      <c r="D44" s="9"/>
      <c r="F44" s="5"/>
      <c r="G44" s="4"/>
    </row>
    <row r="45" spans="1:7" x14ac:dyDescent="0.25">
      <c r="A45" s="1">
        <v>45533</v>
      </c>
      <c r="B45" s="4">
        <v>527.84</v>
      </c>
      <c r="C45" s="4">
        <v>76720810</v>
      </c>
      <c r="D45" s="9"/>
      <c r="F45" s="5"/>
      <c r="G45" s="4"/>
    </row>
    <row r="46" spans="1:7" x14ac:dyDescent="0.25">
      <c r="A46" s="1">
        <v>45534</v>
      </c>
      <c r="B46" s="4">
        <v>532.44000000000005</v>
      </c>
      <c r="C46" s="4">
        <v>76720810</v>
      </c>
      <c r="D46" s="9"/>
      <c r="F46" s="5"/>
      <c r="G46" s="4"/>
    </row>
    <row r="47" spans="1:7" x14ac:dyDescent="0.25">
      <c r="A47" s="1">
        <v>45537</v>
      </c>
      <c r="B47" s="4">
        <v>537.04999999999995</v>
      </c>
      <c r="C47" s="4">
        <v>76720810</v>
      </c>
      <c r="D47" s="9"/>
      <c r="F47" s="5"/>
      <c r="G47" s="4"/>
    </row>
    <row r="48" spans="1:7" x14ac:dyDescent="0.25">
      <c r="A48" s="1">
        <v>45538</v>
      </c>
      <c r="B48" s="4">
        <v>535.51</v>
      </c>
      <c r="C48" s="4">
        <v>76720810</v>
      </c>
      <c r="D48" s="9"/>
      <c r="F48" s="5"/>
      <c r="G48" s="4"/>
    </row>
    <row r="49" spans="1:7" x14ac:dyDescent="0.25">
      <c r="A49" s="1">
        <v>45539</v>
      </c>
      <c r="B49" s="4">
        <v>523.24</v>
      </c>
      <c r="C49" s="4">
        <v>76720810</v>
      </c>
      <c r="D49" s="9"/>
      <c r="F49" s="5"/>
      <c r="G49" s="4"/>
    </row>
    <row r="50" spans="1:7" x14ac:dyDescent="0.25">
      <c r="A50" s="1">
        <v>45540</v>
      </c>
      <c r="B50" s="4">
        <v>520.16999999999996</v>
      </c>
      <c r="C50" s="4">
        <v>76720810</v>
      </c>
      <c r="D50" s="9"/>
      <c r="F50" s="5"/>
      <c r="G50" s="4"/>
    </row>
    <row r="51" spans="1:7" x14ac:dyDescent="0.25">
      <c r="A51" s="1">
        <v>45541</v>
      </c>
      <c r="B51" s="4">
        <v>525.54</v>
      </c>
      <c r="C51" s="4">
        <v>76720810</v>
      </c>
      <c r="D51" s="9"/>
      <c r="F51" s="5"/>
      <c r="G51" s="4"/>
    </row>
    <row r="52" spans="1:7" x14ac:dyDescent="0.25">
      <c r="A52" s="1">
        <v>45544</v>
      </c>
      <c r="B52" s="4">
        <v>515.55999999999995</v>
      </c>
      <c r="C52" s="4">
        <v>76720810</v>
      </c>
      <c r="D52" s="9"/>
      <c r="F52" s="5"/>
      <c r="G52" s="4"/>
    </row>
    <row r="53" spans="1:7" x14ac:dyDescent="0.25">
      <c r="A53" s="1">
        <v>45545</v>
      </c>
      <c r="B53" s="4">
        <v>510.19</v>
      </c>
      <c r="C53" s="4">
        <v>76720810</v>
      </c>
      <c r="D53" s="9"/>
      <c r="F53" s="5"/>
      <c r="G53" s="4"/>
    </row>
    <row r="54" spans="1:7" x14ac:dyDescent="0.25">
      <c r="A54" s="1">
        <v>45546</v>
      </c>
      <c r="B54" s="4">
        <v>510.96</v>
      </c>
      <c r="C54" s="4">
        <v>76720810</v>
      </c>
      <c r="D54" s="9"/>
      <c r="F54" s="5"/>
      <c r="G54" s="4"/>
    </row>
    <row r="55" spans="1:7" x14ac:dyDescent="0.25">
      <c r="A55" s="1">
        <v>45547</v>
      </c>
      <c r="B55" s="4">
        <v>514.03</v>
      </c>
      <c r="C55" s="4">
        <v>76720810</v>
      </c>
      <c r="D55" s="9"/>
      <c r="F55" s="5"/>
      <c r="G55" s="4"/>
    </row>
    <row r="56" spans="1:7" x14ac:dyDescent="0.25">
      <c r="A56" s="1">
        <v>45548</v>
      </c>
      <c r="B56" s="4">
        <v>511.73</v>
      </c>
      <c r="C56" s="4">
        <v>76720810</v>
      </c>
      <c r="D56" s="9"/>
      <c r="F56" s="5"/>
      <c r="G56" s="4"/>
    </row>
    <row r="57" spans="1:7" x14ac:dyDescent="0.25">
      <c r="A57" s="1">
        <v>45551</v>
      </c>
      <c r="B57" s="4">
        <v>514.03</v>
      </c>
      <c r="C57" s="4">
        <v>76720810</v>
      </c>
      <c r="D57" s="9"/>
      <c r="F57" s="5"/>
      <c r="G57" s="4"/>
    </row>
    <row r="58" spans="1:7" x14ac:dyDescent="0.25">
      <c r="A58" s="1">
        <v>45552</v>
      </c>
      <c r="B58" s="4">
        <v>514.03</v>
      </c>
      <c r="C58" s="4">
        <v>76720810</v>
      </c>
      <c r="D58" s="9"/>
      <c r="F58" s="5"/>
      <c r="G58" s="4"/>
    </row>
    <row r="59" spans="1:7" x14ac:dyDescent="0.25">
      <c r="A59" s="1">
        <v>45553</v>
      </c>
      <c r="B59" s="4">
        <v>517.87</v>
      </c>
      <c r="C59" s="4">
        <v>76720810</v>
      </c>
      <c r="D59" s="9"/>
      <c r="F59" s="5"/>
      <c r="G59" s="4"/>
    </row>
    <row r="60" spans="1:7" x14ac:dyDescent="0.25">
      <c r="A60" s="1">
        <v>45554</v>
      </c>
      <c r="B60" s="4">
        <v>518.63</v>
      </c>
      <c r="C60" s="4">
        <v>76720810</v>
      </c>
      <c r="D60" s="9"/>
      <c r="F60" s="5"/>
      <c r="G60" s="4"/>
    </row>
    <row r="61" spans="1:7" x14ac:dyDescent="0.25">
      <c r="A61" s="1">
        <v>45555</v>
      </c>
      <c r="B61" s="4">
        <v>530.14</v>
      </c>
      <c r="C61" s="4">
        <v>76720810</v>
      </c>
      <c r="D61" s="9"/>
      <c r="F61" s="5"/>
      <c r="G61" s="4"/>
    </row>
    <row r="62" spans="1:7" x14ac:dyDescent="0.25">
      <c r="A62" s="1">
        <v>45558</v>
      </c>
      <c r="B62" s="4">
        <v>540.11</v>
      </c>
      <c r="C62" s="4">
        <v>76720810</v>
      </c>
      <c r="D62" s="9"/>
      <c r="F62" s="5"/>
      <c r="G62" s="4"/>
    </row>
    <row r="63" spans="1:7" x14ac:dyDescent="0.25">
      <c r="A63" s="1">
        <v>45559</v>
      </c>
      <c r="B63" s="4">
        <v>543.17999999999995</v>
      </c>
      <c r="C63" s="4">
        <v>76720810</v>
      </c>
      <c r="D63" s="9"/>
      <c r="F63" s="5"/>
      <c r="G63" s="4"/>
    </row>
    <row r="64" spans="1:7" x14ac:dyDescent="0.25">
      <c r="A64" s="1">
        <v>45560</v>
      </c>
      <c r="B64" s="4">
        <v>543.95000000000005</v>
      </c>
      <c r="C64" s="4">
        <v>76720810</v>
      </c>
      <c r="D64" s="9"/>
      <c r="F64" s="5"/>
      <c r="G64" s="4"/>
    </row>
    <row r="65" spans="1:7" x14ac:dyDescent="0.25">
      <c r="A65" s="1">
        <v>45561</v>
      </c>
      <c r="B65" s="4">
        <v>560.05999999999995</v>
      </c>
      <c r="C65" s="4">
        <v>76720810</v>
      </c>
      <c r="D65" s="9"/>
      <c r="F65" s="5"/>
      <c r="G65" s="4"/>
    </row>
    <row r="66" spans="1:7" x14ac:dyDescent="0.25">
      <c r="A66" s="1">
        <v>45562</v>
      </c>
      <c r="B66" s="4">
        <v>560.83000000000004</v>
      </c>
      <c r="C66" s="4">
        <v>76720810</v>
      </c>
      <c r="D66" s="9"/>
      <c r="F66" s="5"/>
      <c r="G66" s="4"/>
    </row>
    <row r="67" spans="1:7" x14ac:dyDescent="0.25">
      <c r="A67" s="1">
        <v>45565</v>
      </c>
      <c r="B67" s="4">
        <v>575.41</v>
      </c>
      <c r="C67" s="4">
        <v>76720810</v>
      </c>
      <c r="D67" s="9"/>
      <c r="F67" s="5"/>
      <c r="G67" s="4"/>
    </row>
    <row r="68" spans="1:7" x14ac:dyDescent="0.25">
      <c r="A68" s="1">
        <v>45566</v>
      </c>
      <c r="B68" s="4">
        <v>586.15</v>
      </c>
      <c r="C68" s="4">
        <v>76720810</v>
      </c>
      <c r="D68" s="9"/>
      <c r="F68" s="5"/>
      <c r="G68" s="4"/>
    </row>
    <row r="69" spans="1:7" x14ac:dyDescent="0.25">
      <c r="A69" s="1">
        <v>45567</v>
      </c>
      <c r="B69" s="4">
        <v>590.75</v>
      </c>
      <c r="C69" s="4">
        <v>76720810</v>
      </c>
      <c r="D69" s="9"/>
      <c r="F69" s="5"/>
      <c r="G69" s="4"/>
    </row>
    <row r="70" spans="1:7" x14ac:dyDescent="0.25">
      <c r="A70" s="1">
        <v>45568</v>
      </c>
      <c r="B70" s="4">
        <v>594.59</v>
      </c>
      <c r="C70" s="4">
        <v>76720810</v>
      </c>
      <c r="D70" s="9"/>
      <c r="F70" s="5"/>
      <c r="G70" s="4"/>
    </row>
    <row r="71" spans="1:7" x14ac:dyDescent="0.25">
      <c r="A71" s="1">
        <v>45569</v>
      </c>
      <c r="B71" s="4">
        <v>583.08000000000004</v>
      </c>
      <c r="C71" s="4">
        <v>76720810</v>
      </c>
      <c r="D71" s="9"/>
      <c r="F71" s="5"/>
      <c r="G71" s="4"/>
    </row>
    <row r="72" spans="1:7" x14ac:dyDescent="0.25">
      <c r="A72" s="1">
        <v>45572</v>
      </c>
      <c r="B72" s="4">
        <v>590.75</v>
      </c>
      <c r="C72" s="4">
        <v>76720810</v>
      </c>
      <c r="D72" s="9"/>
      <c r="F72" s="5"/>
      <c r="G72" s="4"/>
    </row>
    <row r="73" spans="1:7" x14ac:dyDescent="0.25">
      <c r="A73" s="1">
        <v>45573</v>
      </c>
      <c r="B73" s="4">
        <v>586.91</v>
      </c>
      <c r="C73" s="4">
        <v>76720810</v>
      </c>
      <c r="D73" s="9"/>
      <c r="F73" s="5"/>
      <c r="G73" s="4"/>
    </row>
    <row r="74" spans="1:7" x14ac:dyDescent="0.25">
      <c r="A74" s="1">
        <v>45574</v>
      </c>
      <c r="B74" s="4">
        <v>594.59</v>
      </c>
      <c r="C74" s="4">
        <v>76720810</v>
      </c>
      <c r="D74" s="9"/>
      <c r="F74" s="5"/>
      <c r="G74" s="4"/>
    </row>
    <row r="75" spans="1:7" x14ac:dyDescent="0.25">
      <c r="A75" s="1">
        <v>45575</v>
      </c>
      <c r="B75" s="4">
        <v>590.75</v>
      </c>
      <c r="C75" s="4">
        <v>76720810</v>
      </c>
      <c r="D75" s="9"/>
      <c r="F75" s="5"/>
      <c r="G75" s="4"/>
    </row>
    <row r="76" spans="1:7" x14ac:dyDescent="0.25">
      <c r="A76" s="1">
        <v>45576</v>
      </c>
      <c r="B76" s="4">
        <v>591.52</v>
      </c>
      <c r="C76" s="4">
        <v>76720810</v>
      </c>
      <c r="D76" s="9"/>
      <c r="F76" s="5"/>
      <c r="G76" s="4"/>
    </row>
    <row r="77" spans="1:7" x14ac:dyDescent="0.25">
      <c r="A77" s="1">
        <v>45579</v>
      </c>
      <c r="B77" s="4">
        <v>584.61</v>
      </c>
      <c r="C77" s="4">
        <v>76720810</v>
      </c>
      <c r="D77" s="9"/>
      <c r="F77" s="5"/>
      <c r="G77" s="4"/>
    </row>
    <row r="78" spans="1:7" x14ac:dyDescent="0.25">
      <c r="A78" s="1">
        <v>45580</v>
      </c>
      <c r="B78" s="4">
        <v>616.07000000000005</v>
      </c>
      <c r="C78" s="4">
        <v>76720810</v>
      </c>
      <c r="D78" s="9"/>
      <c r="F78" s="5"/>
      <c r="G78" s="4"/>
    </row>
    <row r="79" spans="1:7" x14ac:dyDescent="0.25">
      <c r="A79" s="1">
        <v>45581</v>
      </c>
      <c r="B79" s="4">
        <v>622.97</v>
      </c>
      <c r="C79" s="4">
        <v>76720810</v>
      </c>
      <c r="D79" s="9"/>
      <c r="F79" s="5"/>
      <c r="G79" s="4"/>
    </row>
    <row r="80" spans="1:7" x14ac:dyDescent="0.25">
      <c r="A80" s="1">
        <v>45582</v>
      </c>
      <c r="B80" s="4">
        <v>620.66999999999996</v>
      </c>
      <c r="C80" s="4">
        <v>76720810</v>
      </c>
      <c r="D80" s="9"/>
      <c r="F80" s="5"/>
      <c r="G80" s="4"/>
    </row>
    <row r="81" spans="1:7" x14ac:dyDescent="0.25">
      <c r="A81" s="1">
        <v>45583</v>
      </c>
      <c r="B81" s="4">
        <v>626.04</v>
      </c>
      <c r="C81" s="4">
        <v>76720810</v>
      </c>
      <c r="D81" s="9"/>
      <c r="F81" s="5"/>
      <c r="G81" s="4"/>
    </row>
    <row r="82" spans="1:7" x14ac:dyDescent="0.25">
      <c r="A82" s="1">
        <v>45586</v>
      </c>
      <c r="B82" s="4">
        <v>632.95000000000005</v>
      </c>
      <c r="C82" s="4">
        <v>76720810</v>
      </c>
      <c r="D82" s="9"/>
      <c r="F82" s="5"/>
      <c r="G82" s="4"/>
    </row>
    <row r="83" spans="1:7" x14ac:dyDescent="0.25">
      <c r="A83" s="1">
        <v>45587</v>
      </c>
      <c r="B83" s="4">
        <v>632.95000000000005</v>
      </c>
      <c r="C83" s="4">
        <v>76720810</v>
      </c>
      <c r="D83" s="9"/>
      <c r="F83" s="5"/>
      <c r="G83" s="4"/>
    </row>
    <row r="84" spans="1:7" x14ac:dyDescent="0.25">
      <c r="A84" s="1">
        <v>45588</v>
      </c>
      <c r="B84" s="4">
        <v>629.88</v>
      </c>
      <c r="C84" s="4">
        <v>76720810</v>
      </c>
      <c r="D84" s="9"/>
      <c r="F84" s="5"/>
      <c r="G84" s="4"/>
    </row>
    <row r="85" spans="1:7" x14ac:dyDescent="0.25">
      <c r="A85" s="1">
        <v>45589</v>
      </c>
      <c r="B85" s="4">
        <v>610.70000000000005</v>
      </c>
      <c r="C85" s="4">
        <v>76720810</v>
      </c>
      <c r="D85" s="9"/>
      <c r="F85" s="5"/>
      <c r="G85" s="4"/>
    </row>
    <row r="86" spans="1:7" x14ac:dyDescent="0.25">
      <c r="A86" s="1">
        <v>45590</v>
      </c>
      <c r="B86" s="4">
        <v>612.23</v>
      </c>
      <c r="C86" s="4">
        <v>76720810</v>
      </c>
      <c r="D86" s="9"/>
      <c r="F86" s="5"/>
      <c r="G86" s="4"/>
    </row>
    <row r="87" spans="1:7" x14ac:dyDescent="0.25">
      <c r="A87" s="1">
        <v>45593</v>
      </c>
      <c r="B87" s="4">
        <v>628.34</v>
      </c>
      <c r="C87" s="4">
        <v>76720810</v>
      </c>
      <c r="D87" s="9"/>
      <c r="F87" s="5"/>
      <c r="G87" s="4"/>
    </row>
    <row r="88" spans="1:7" x14ac:dyDescent="0.25">
      <c r="A88" s="1">
        <v>45594</v>
      </c>
      <c r="B88" s="4">
        <v>639.08000000000004</v>
      </c>
      <c r="C88" s="4">
        <v>76720810</v>
      </c>
      <c r="D88" s="9"/>
      <c r="F88" s="5"/>
      <c r="G88" s="4"/>
    </row>
    <row r="89" spans="1:7" x14ac:dyDescent="0.25">
      <c r="A89" s="1">
        <v>45595</v>
      </c>
      <c r="B89" s="4">
        <v>613</v>
      </c>
      <c r="C89" s="4">
        <v>76720810</v>
      </c>
      <c r="D89" s="9"/>
      <c r="F89" s="5"/>
      <c r="G89" s="4"/>
    </row>
    <row r="90" spans="1:7" x14ac:dyDescent="0.25">
      <c r="A90" s="1">
        <v>45596</v>
      </c>
      <c r="B90" s="4">
        <v>604.55999999999995</v>
      </c>
      <c r="C90" s="4">
        <v>76720810</v>
      </c>
      <c r="D90" s="9"/>
      <c r="F90" s="5"/>
      <c r="G90" s="4"/>
    </row>
    <row r="91" spans="1:7" x14ac:dyDescent="0.25">
      <c r="A91" s="1">
        <v>45597</v>
      </c>
      <c r="B91" s="4">
        <v>598.41999999999996</v>
      </c>
      <c r="C91" s="4">
        <v>76720810</v>
      </c>
      <c r="D91" s="9"/>
      <c r="F91" s="5"/>
      <c r="G91" s="4"/>
    </row>
    <row r="92" spans="1:7" x14ac:dyDescent="0.25">
      <c r="A92" s="1">
        <v>45600</v>
      </c>
      <c r="B92" s="4">
        <v>586.91</v>
      </c>
      <c r="C92" s="4">
        <v>76720810</v>
      </c>
      <c r="D92" s="9"/>
      <c r="F92" s="5"/>
      <c r="G92" s="4"/>
    </row>
    <row r="93" spans="1:7" x14ac:dyDescent="0.25">
      <c r="A93" s="1">
        <v>45601</v>
      </c>
      <c r="B93" s="4">
        <v>586.15</v>
      </c>
      <c r="C93" s="4">
        <v>76720810</v>
      </c>
      <c r="D93" s="9"/>
      <c r="F93" s="5"/>
      <c r="G93" s="4"/>
    </row>
    <row r="94" spans="1:7" x14ac:dyDescent="0.25">
      <c r="A94" s="1">
        <v>45602</v>
      </c>
      <c r="B94" s="4">
        <v>589.22</v>
      </c>
      <c r="C94" s="4">
        <v>76720810</v>
      </c>
      <c r="D94" s="9"/>
      <c r="F94" s="5"/>
      <c r="G94" s="4"/>
    </row>
    <row r="95" spans="1:7" x14ac:dyDescent="0.25">
      <c r="A95" s="1">
        <v>45603</v>
      </c>
      <c r="B95" s="4">
        <v>583.85</v>
      </c>
      <c r="C95" s="4">
        <v>76720810</v>
      </c>
      <c r="D95" s="9"/>
      <c r="F95" s="5"/>
      <c r="G95" s="4"/>
    </row>
    <row r="96" spans="1:7" x14ac:dyDescent="0.25">
      <c r="A96" s="1">
        <v>45604</v>
      </c>
      <c r="B96" s="4">
        <v>593.04999999999995</v>
      </c>
      <c r="C96" s="4">
        <v>76720810</v>
      </c>
      <c r="D96" s="9"/>
      <c r="F96" s="5"/>
      <c r="G96" s="4"/>
    </row>
    <row r="97" spans="1:7" x14ac:dyDescent="0.25">
      <c r="A97" s="1">
        <v>45607</v>
      </c>
      <c r="B97" s="4">
        <v>593.04999999999995</v>
      </c>
      <c r="C97" s="4">
        <v>76720810</v>
      </c>
      <c r="D97" s="9"/>
      <c r="F97" s="5"/>
      <c r="G97" s="4"/>
    </row>
    <row r="98" spans="1:7" x14ac:dyDescent="0.25">
      <c r="A98" s="1">
        <v>45608</v>
      </c>
      <c r="B98" s="4">
        <v>600.72</v>
      </c>
      <c r="C98" s="4">
        <v>76720810</v>
      </c>
      <c r="D98" s="9"/>
      <c r="F98" s="5"/>
      <c r="G98" s="4"/>
    </row>
    <row r="99" spans="1:7" x14ac:dyDescent="0.25">
      <c r="A99" s="1">
        <v>45609</v>
      </c>
      <c r="B99" s="4">
        <v>596.89</v>
      </c>
      <c r="C99" s="4">
        <v>76720810</v>
      </c>
      <c r="D99" s="9"/>
      <c r="F99" s="5"/>
      <c r="G99" s="4"/>
    </row>
    <row r="100" spans="1:7" x14ac:dyDescent="0.25">
      <c r="A100" s="1">
        <v>45610</v>
      </c>
      <c r="B100" s="4">
        <v>594.59</v>
      </c>
      <c r="C100" s="4">
        <v>76720810</v>
      </c>
      <c r="D100" s="9"/>
      <c r="F100" s="5"/>
      <c r="G100" s="4"/>
    </row>
    <row r="101" spans="1:7" x14ac:dyDescent="0.25">
      <c r="A101" s="1">
        <v>45611</v>
      </c>
      <c r="B101" s="4">
        <v>607.63</v>
      </c>
      <c r="C101" s="4">
        <v>76720810</v>
      </c>
      <c r="D101" s="9"/>
      <c r="F101" s="5"/>
      <c r="G101" s="4"/>
    </row>
    <row r="102" spans="1:7" x14ac:dyDescent="0.25">
      <c r="A102" s="1">
        <v>45614</v>
      </c>
      <c r="B102" s="4">
        <v>606.86</v>
      </c>
      <c r="C102" s="4">
        <v>76720810</v>
      </c>
      <c r="D102" s="9"/>
      <c r="F102" s="5"/>
      <c r="G102" s="4"/>
    </row>
    <row r="103" spans="1:7" x14ac:dyDescent="0.25">
      <c r="A103" s="1">
        <v>45615</v>
      </c>
      <c r="B103" s="4">
        <v>614.53</v>
      </c>
      <c r="C103" s="4">
        <v>76720810</v>
      </c>
      <c r="D103" s="9"/>
      <c r="F103" s="5"/>
      <c r="G103" s="4"/>
    </row>
    <row r="104" spans="1:7" x14ac:dyDescent="0.25">
      <c r="A104" s="1">
        <v>45616</v>
      </c>
      <c r="B104" s="4">
        <v>596.12</v>
      </c>
      <c r="C104" s="4">
        <v>76720810</v>
      </c>
      <c r="D104" s="9"/>
      <c r="F104" s="5"/>
      <c r="G104" s="4"/>
    </row>
    <row r="105" spans="1:7" x14ac:dyDescent="0.25">
      <c r="A105" s="1">
        <v>45617</v>
      </c>
      <c r="B105" s="4">
        <v>572.34</v>
      </c>
      <c r="C105" s="4">
        <v>76720810</v>
      </c>
      <c r="D105" s="9"/>
      <c r="F105" s="5"/>
      <c r="G105" s="4"/>
    </row>
    <row r="106" spans="1:7" x14ac:dyDescent="0.25">
      <c r="A106" s="1">
        <v>45618</v>
      </c>
      <c r="B106" s="4">
        <v>570.79999999999995</v>
      </c>
      <c r="C106" s="4">
        <v>76720810</v>
      </c>
      <c r="D106" s="9"/>
      <c r="F106" s="5"/>
      <c r="G106" s="4"/>
    </row>
    <row r="107" spans="1:7" x14ac:dyDescent="0.25">
      <c r="A107" s="1">
        <v>45621</v>
      </c>
      <c r="B107" s="4">
        <v>572.34</v>
      </c>
      <c r="C107" s="4">
        <v>76720810</v>
      </c>
      <c r="D107" s="9"/>
      <c r="F107" s="5"/>
      <c r="G107" s="4"/>
    </row>
    <row r="108" spans="1:7" x14ac:dyDescent="0.25">
      <c r="A108" s="1">
        <v>45622</v>
      </c>
      <c r="B108" s="4">
        <v>587.67999999999995</v>
      </c>
      <c r="C108" s="4">
        <v>76720810</v>
      </c>
      <c r="D108" s="9"/>
      <c r="F108" s="5"/>
      <c r="G108" s="4"/>
    </row>
    <row r="109" spans="1:7" x14ac:dyDescent="0.25">
      <c r="A109" s="1">
        <v>45623</v>
      </c>
      <c r="B109" s="4">
        <v>587.67999999999995</v>
      </c>
      <c r="C109" s="4">
        <v>76720810</v>
      </c>
      <c r="D109" s="9"/>
      <c r="F109" s="5"/>
      <c r="G109" s="4"/>
    </row>
    <row r="110" spans="1:7" x14ac:dyDescent="0.25">
      <c r="A110" s="1">
        <v>45624</v>
      </c>
      <c r="B110" s="4">
        <v>579.24</v>
      </c>
      <c r="C110" s="4">
        <v>76720810</v>
      </c>
      <c r="D110" s="9"/>
      <c r="F110" s="5"/>
      <c r="G110" s="4"/>
    </row>
    <row r="111" spans="1:7" x14ac:dyDescent="0.25">
      <c r="A111" s="1">
        <v>45625</v>
      </c>
      <c r="B111" s="4">
        <v>598.41999999999996</v>
      </c>
      <c r="C111" s="4">
        <v>76720810</v>
      </c>
      <c r="D111" s="9"/>
      <c r="F111" s="5"/>
      <c r="G111" s="4"/>
    </row>
    <row r="112" spans="1:7" x14ac:dyDescent="0.25">
      <c r="A112" s="1">
        <v>45628</v>
      </c>
      <c r="B112" s="4">
        <v>587.67999999999995</v>
      </c>
      <c r="C112" s="4">
        <v>76720810</v>
      </c>
      <c r="D112" s="9"/>
      <c r="F112" s="5"/>
      <c r="G112" s="4"/>
    </row>
    <row r="113" spans="1:7" x14ac:dyDescent="0.25">
      <c r="A113" s="1">
        <v>45629</v>
      </c>
      <c r="B113" s="4">
        <v>606.09</v>
      </c>
      <c r="C113" s="4">
        <v>76720810</v>
      </c>
      <c r="D113" s="9"/>
      <c r="F113" s="5"/>
      <c r="G113" s="4"/>
    </row>
    <row r="114" spans="1:7" x14ac:dyDescent="0.25">
      <c r="A114" s="1">
        <v>45630</v>
      </c>
      <c r="B114" s="4">
        <v>619.9</v>
      </c>
      <c r="C114" s="4">
        <v>76720810</v>
      </c>
      <c r="D114" s="9"/>
      <c r="F114" s="5"/>
      <c r="G114" s="4"/>
    </row>
    <row r="115" spans="1:7" x14ac:dyDescent="0.25">
      <c r="A115" s="1">
        <v>45631</v>
      </c>
      <c r="B115" s="4">
        <v>624.51</v>
      </c>
      <c r="C115" s="4">
        <v>76720810</v>
      </c>
      <c r="D115" s="9"/>
      <c r="F115" s="5"/>
      <c r="G115" s="4"/>
    </row>
    <row r="116" spans="1:7" x14ac:dyDescent="0.25">
      <c r="A116" s="1">
        <v>45632</v>
      </c>
      <c r="B116" s="4">
        <v>618.37</v>
      </c>
      <c r="C116" s="4">
        <v>76720810</v>
      </c>
      <c r="D116" s="9"/>
      <c r="F116" s="5"/>
      <c r="G116" s="4"/>
    </row>
    <row r="117" spans="1:7" x14ac:dyDescent="0.25">
      <c r="A117" s="1">
        <v>45635</v>
      </c>
      <c r="B117" s="4">
        <v>613.77</v>
      </c>
      <c r="C117" s="4">
        <v>76720810</v>
      </c>
      <c r="D117" s="9"/>
      <c r="F117" s="5"/>
      <c r="G117" s="4"/>
    </row>
    <row r="118" spans="1:7" x14ac:dyDescent="0.25">
      <c r="A118" s="1">
        <v>45636</v>
      </c>
      <c r="B118" s="4">
        <v>599.96</v>
      </c>
      <c r="C118" s="4">
        <v>76720810</v>
      </c>
      <c r="D118" s="9"/>
      <c r="F118" s="5"/>
      <c r="G118" s="4"/>
    </row>
    <row r="119" spans="1:7" x14ac:dyDescent="0.25">
      <c r="A119" s="1">
        <v>45637</v>
      </c>
      <c r="B119" s="4">
        <v>593.82000000000005</v>
      </c>
      <c r="C119" s="4">
        <v>76720810</v>
      </c>
      <c r="D119" s="9"/>
      <c r="F119" s="5"/>
      <c r="G119" s="4"/>
    </row>
    <row r="120" spans="1:7" x14ac:dyDescent="0.25">
      <c r="A120" s="1">
        <v>45638</v>
      </c>
      <c r="B120" s="4">
        <v>597.66</v>
      </c>
      <c r="C120" s="4">
        <v>76720810</v>
      </c>
      <c r="D120" s="9"/>
      <c r="F120" s="5"/>
      <c r="G120" s="4"/>
    </row>
    <row r="121" spans="1:7" x14ac:dyDescent="0.25">
      <c r="A121" s="1">
        <v>45639</v>
      </c>
      <c r="B121" s="4">
        <v>593.04999999999995</v>
      </c>
      <c r="C121" s="4">
        <v>76720810</v>
      </c>
      <c r="D121" s="9"/>
      <c r="F121" s="5"/>
      <c r="G121" s="4"/>
    </row>
    <row r="122" spans="1:7" x14ac:dyDescent="0.25">
      <c r="A122" s="1">
        <v>45642</v>
      </c>
      <c r="B122" s="4">
        <v>596.89</v>
      </c>
      <c r="C122" s="4">
        <v>76720810</v>
      </c>
      <c r="D122" s="9"/>
      <c r="F122" s="5"/>
      <c r="G122" s="4"/>
    </row>
    <row r="123" spans="1:7" x14ac:dyDescent="0.25">
      <c r="A123" s="1">
        <v>45643</v>
      </c>
      <c r="B123" s="4">
        <v>615.29999999999995</v>
      </c>
      <c r="C123" s="4">
        <v>76720810</v>
      </c>
      <c r="D123" s="9"/>
      <c r="F123" s="5"/>
      <c r="G123" s="4"/>
    </row>
    <row r="124" spans="1:7" x14ac:dyDescent="0.25">
      <c r="A124" s="1">
        <v>45644</v>
      </c>
      <c r="B124" s="4">
        <v>616.84</v>
      </c>
      <c r="C124" s="4">
        <v>76720810</v>
      </c>
      <c r="D124" s="9"/>
      <c r="F124" s="5"/>
      <c r="G124" s="4"/>
    </row>
    <row r="125" spans="1:7" x14ac:dyDescent="0.25">
      <c r="A125" s="1">
        <v>45645</v>
      </c>
      <c r="B125" s="4">
        <v>609.16</v>
      </c>
      <c r="C125" s="4">
        <v>76720810</v>
      </c>
      <c r="D125" s="9"/>
      <c r="F125" s="5"/>
      <c r="G125" s="4"/>
    </row>
    <row r="126" spans="1:7" x14ac:dyDescent="0.25">
      <c r="A126" s="1">
        <v>45646</v>
      </c>
      <c r="B126" s="4">
        <v>611.46</v>
      </c>
      <c r="C126" s="4">
        <v>76720810</v>
      </c>
      <c r="D126" s="9"/>
      <c r="F126" s="5"/>
      <c r="G126" s="4"/>
    </row>
    <row r="127" spans="1:7" x14ac:dyDescent="0.25">
      <c r="A127" s="1">
        <v>45649</v>
      </c>
      <c r="B127" s="4">
        <v>615.29999999999995</v>
      </c>
      <c r="C127" s="4">
        <v>76720810</v>
      </c>
      <c r="D127" s="9"/>
      <c r="F127" s="5"/>
      <c r="G127" s="4"/>
    </row>
    <row r="128" spans="1:7" x14ac:dyDescent="0.25">
      <c r="A128" s="1">
        <v>45650</v>
      </c>
      <c r="B128" s="4">
        <v>624.51</v>
      </c>
      <c r="C128" s="4">
        <v>76720810</v>
      </c>
      <c r="D128" s="9"/>
      <c r="F128" s="5"/>
      <c r="G128" s="4"/>
    </row>
    <row r="129" spans="1:7" x14ac:dyDescent="0.25">
      <c r="A129" s="1">
        <v>45653</v>
      </c>
      <c r="B129" s="4">
        <v>643.69000000000005</v>
      </c>
      <c r="C129" s="4">
        <v>76720810</v>
      </c>
      <c r="D129" s="9"/>
      <c r="F129" s="5"/>
      <c r="G129" s="4"/>
    </row>
    <row r="130" spans="1:7" x14ac:dyDescent="0.25">
      <c r="A130" s="1">
        <v>45656</v>
      </c>
      <c r="B130" s="4">
        <v>637.54999999999995</v>
      </c>
      <c r="C130" s="4">
        <v>76720810</v>
      </c>
      <c r="D130" s="9"/>
      <c r="F130" s="5"/>
      <c r="G130" s="4"/>
    </row>
    <row r="131" spans="1:7" x14ac:dyDescent="0.25">
      <c r="A131" s="1">
        <v>45657</v>
      </c>
      <c r="B131" s="4">
        <v>658.26</v>
      </c>
      <c r="C131" s="4">
        <v>76720810</v>
      </c>
      <c r="D131" s="9"/>
      <c r="F131" s="5"/>
      <c r="G131" s="4"/>
    </row>
    <row r="132" spans="1:7" x14ac:dyDescent="0.25">
      <c r="A132" s="1">
        <v>45659</v>
      </c>
      <c r="B132" s="4">
        <v>621.44000000000005</v>
      </c>
      <c r="C132" s="4">
        <v>76720810</v>
      </c>
      <c r="D132" s="9"/>
      <c r="F132" s="5"/>
      <c r="G132" s="4"/>
    </row>
    <row r="133" spans="1:7" x14ac:dyDescent="0.25">
      <c r="A133" s="1">
        <v>45660</v>
      </c>
      <c r="B133" s="4">
        <v>627.58000000000004</v>
      </c>
      <c r="C133" s="4">
        <v>76720810</v>
      </c>
      <c r="D133" s="9"/>
      <c r="F133" s="5"/>
      <c r="G133" s="4"/>
    </row>
    <row r="134" spans="1:7" x14ac:dyDescent="0.25">
      <c r="A134" s="1">
        <v>45663</v>
      </c>
      <c r="B134" s="4">
        <v>632.95000000000005</v>
      </c>
      <c r="C134" s="4">
        <v>76720810</v>
      </c>
      <c r="D134" s="9"/>
      <c r="F134" s="5"/>
      <c r="G134" s="4"/>
    </row>
    <row r="135" spans="1:7" x14ac:dyDescent="0.25">
      <c r="A135" s="1">
        <v>45664</v>
      </c>
      <c r="B135" s="4">
        <v>647.52</v>
      </c>
      <c r="C135" s="4">
        <v>76720810</v>
      </c>
      <c r="D135" s="9"/>
      <c r="F135" s="5"/>
      <c r="G135" s="4"/>
    </row>
    <row r="136" spans="1:7" x14ac:dyDescent="0.25">
      <c r="A136" s="1">
        <v>45665</v>
      </c>
      <c r="B136" s="4">
        <v>642.91999999999996</v>
      </c>
      <c r="C136" s="4">
        <v>76720810</v>
      </c>
      <c r="D136" s="9"/>
      <c r="F136" s="5"/>
      <c r="G136" s="4"/>
    </row>
    <row r="137" spans="1:7" x14ac:dyDescent="0.25">
      <c r="A137" s="1">
        <v>45666</v>
      </c>
      <c r="B137" s="4">
        <v>646.76</v>
      </c>
      <c r="C137" s="4">
        <v>76720810</v>
      </c>
      <c r="D137" s="9"/>
      <c r="F137" s="5"/>
      <c r="G137" s="4"/>
    </row>
    <row r="138" spans="1:7" x14ac:dyDescent="0.25">
      <c r="A138" s="1">
        <v>45667</v>
      </c>
      <c r="B138" s="4">
        <v>644.45000000000005</v>
      </c>
      <c r="C138" s="4">
        <v>76720810</v>
      </c>
      <c r="D138" s="9"/>
      <c r="F138" s="5"/>
      <c r="G138" s="4"/>
    </row>
    <row r="139" spans="1:7" x14ac:dyDescent="0.25">
      <c r="A139" s="1">
        <v>45670</v>
      </c>
      <c r="B139" s="4">
        <v>622.21</v>
      </c>
      <c r="C139" s="4">
        <v>76720810</v>
      </c>
      <c r="D139" s="9"/>
      <c r="F139" s="5"/>
      <c r="G139" s="4"/>
    </row>
    <row r="140" spans="1:7" x14ac:dyDescent="0.25">
      <c r="A140" s="1">
        <v>45671</v>
      </c>
      <c r="B140" s="4">
        <v>616.07000000000005</v>
      </c>
      <c r="C140" s="4">
        <v>76720810</v>
      </c>
      <c r="D140" s="9"/>
      <c r="F140" s="5"/>
      <c r="G140" s="4"/>
    </row>
    <row r="141" spans="1:7" x14ac:dyDescent="0.25">
      <c r="A141" s="1">
        <v>45672</v>
      </c>
      <c r="B141" s="4">
        <v>598.41999999999996</v>
      </c>
      <c r="C141" s="4">
        <v>76720810</v>
      </c>
      <c r="D141" s="9"/>
      <c r="F141" s="5"/>
      <c r="G141" s="4"/>
    </row>
    <row r="142" spans="1:7" x14ac:dyDescent="0.25">
      <c r="A142" s="1">
        <v>45673</v>
      </c>
      <c r="B142" s="4">
        <v>595.35</v>
      </c>
      <c r="C142" s="4">
        <v>76720810</v>
      </c>
      <c r="D142" s="9"/>
      <c r="F142" s="5"/>
      <c r="G142" s="4"/>
    </row>
    <row r="143" spans="1:7" x14ac:dyDescent="0.25">
      <c r="A143" s="1">
        <v>45674</v>
      </c>
      <c r="B143" s="4">
        <v>592.28</v>
      </c>
      <c r="C143" s="4">
        <v>76720810</v>
      </c>
      <c r="D143" s="9"/>
      <c r="F143" s="5"/>
      <c r="G143" s="4"/>
    </row>
    <row r="144" spans="1:7" x14ac:dyDescent="0.25">
      <c r="A144" s="1">
        <v>45677</v>
      </c>
      <c r="B144" s="4">
        <v>606.86</v>
      </c>
      <c r="C144" s="4">
        <v>76720810</v>
      </c>
      <c r="D144" s="9"/>
      <c r="F144" s="5"/>
      <c r="G144" s="4"/>
    </row>
    <row r="145" spans="1:7" x14ac:dyDescent="0.25">
      <c r="A145" s="1">
        <v>45678</v>
      </c>
      <c r="B145" s="4">
        <v>621.44000000000005</v>
      </c>
      <c r="C145" s="4">
        <v>76720810</v>
      </c>
      <c r="D145" s="9"/>
      <c r="F145" s="5"/>
      <c r="G145" s="4"/>
    </row>
    <row r="146" spans="1:7" x14ac:dyDescent="0.25">
      <c r="A146" s="1">
        <v>45679</v>
      </c>
      <c r="B146" s="4">
        <v>634.48</v>
      </c>
      <c r="C146" s="4">
        <v>76720810</v>
      </c>
      <c r="D146" s="9"/>
      <c r="F146" s="5"/>
      <c r="G146" s="4"/>
    </row>
    <row r="147" spans="1:7" x14ac:dyDescent="0.25">
      <c r="A147" s="1">
        <v>45680</v>
      </c>
      <c r="B147" s="4">
        <v>621.44000000000005</v>
      </c>
      <c r="C147" s="4">
        <v>76720810</v>
      </c>
      <c r="D147" s="9"/>
      <c r="F147" s="5"/>
      <c r="G147" s="4"/>
    </row>
    <row r="148" spans="1:7" x14ac:dyDescent="0.25">
      <c r="A148" s="1">
        <v>45681</v>
      </c>
      <c r="B148" s="4">
        <v>644.45000000000005</v>
      </c>
      <c r="C148" s="4">
        <v>76720810</v>
      </c>
      <c r="D148" s="9"/>
      <c r="F148" s="5"/>
      <c r="G148" s="4"/>
    </row>
    <row r="149" spans="1:7" x14ac:dyDescent="0.25">
      <c r="A149" s="1">
        <v>45685</v>
      </c>
      <c r="B149" s="4">
        <v>643.69000000000005</v>
      </c>
      <c r="C149" s="4">
        <v>76720810</v>
      </c>
      <c r="D149" s="9"/>
      <c r="F149" s="5"/>
      <c r="G149" s="4"/>
    </row>
    <row r="150" spans="1:7" x14ac:dyDescent="0.25">
      <c r="A150" s="1">
        <v>45686</v>
      </c>
      <c r="B150" s="4">
        <v>648.29</v>
      </c>
      <c r="C150" s="4">
        <v>76720810</v>
      </c>
      <c r="D150" s="9"/>
      <c r="F150" s="5"/>
      <c r="G150" s="4"/>
    </row>
    <row r="151" spans="1:7" x14ac:dyDescent="0.25">
      <c r="A151" s="1">
        <v>45687</v>
      </c>
      <c r="B151" s="4">
        <v>644.45000000000005</v>
      </c>
      <c r="C151" s="4">
        <v>76720810</v>
      </c>
      <c r="D151" s="9"/>
      <c r="F151" s="5"/>
      <c r="G151" s="4"/>
    </row>
    <row r="152" spans="1:7" x14ac:dyDescent="0.25">
      <c r="A152" s="1">
        <v>45688</v>
      </c>
      <c r="B152" s="4">
        <v>653.66</v>
      </c>
      <c r="C152" s="4">
        <v>76720810</v>
      </c>
      <c r="D152" s="9"/>
      <c r="F152" s="5"/>
      <c r="G152" s="4"/>
    </row>
    <row r="153" spans="1:7" x14ac:dyDescent="0.25">
      <c r="A153" s="1">
        <v>45691</v>
      </c>
      <c r="B153" s="4">
        <v>626.80999999999995</v>
      </c>
      <c r="C153" s="4">
        <v>76720810</v>
      </c>
      <c r="D153" s="9"/>
      <c r="F153" s="5"/>
      <c r="G153" s="4"/>
    </row>
    <row r="154" spans="1:7" x14ac:dyDescent="0.25">
      <c r="A154" s="1">
        <v>45692</v>
      </c>
      <c r="B154" s="4">
        <v>622.21</v>
      </c>
      <c r="C154" s="4">
        <v>76720810</v>
      </c>
      <c r="D154" s="9"/>
      <c r="F154" s="5"/>
      <c r="G154" s="4"/>
    </row>
    <row r="155" spans="1:7" x14ac:dyDescent="0.25">
      <c r="A155" s="1">
        <v>45693</v>
      </c>
      <c r="B155" s="4">
        <v>620.66999999999996</v>
      </c>
      <c r="C155" s="4">
        <v>76720810</v>
      </c>
      <c r="D155" s="9"/>
      <c r="F155" s="5"/>
      <c r="G155" s="4"/>
    </row>
    <row r="156" spans="1:7" x14ac:dyDescent="0.25">
      <c r="A156" s="1">
        <v>45694</v>
      </c>
      <c r="B156" s="4">
        <v>636.78</v>
      </c>
      <c r="C156" s="4">
        <v>76720810</v>
      </c>
      <c r="D156" s="9"/>
      <c r="F156" s="5"/>
      <c r="G156" s="4"/>
    </row>
    <row r="157" spans="1:7" x14ac:dyDescent="0.25">
      <c r="A157" s="1">
        <v>45695</v>
      </c>
      <c r="B157" s="4">
        <v>649.83000000000004</v>
      </c>
      <c r="C157" s="4">
        <v>76720810</v>
      </c>
      <c r="D157" s="9"/>
      <c r="F157" s="5"/>
      <c r="G157" s="4"/>
    </row>
    <row r="158" spans="1:7" x14ac:dyDescent="0.25">
      <c r="A158" s="1">
        <v>45698</v>
      </c>
      <c r="B158" s="4">
        <v>628.34</v>
      </c>
      <c r="C158" s="4">
        <v>76720810</v>
      </c>
      <c r="D158" s="9"/>
      <c r="F158" s="5"/>
      <c r="G158" s="4"/>
    </row>
    <row r="159" spans="1:7" x14ac:dyDescent="0.25">
      <c r="A159" s="1">
        <v>45699</v>
      </c>
      <c r="B159" s="4">
        <v>628.34</v>
      </c>
      <c r="C159" s="4">
        <v>76720810</v>
      </c>
      <c r="D159" s="9"/>
      <c r="F159" s="5"/>
      <c r="G159" s="4"/>
    </row>
    <row r="160" spans="1:7" x14ac:dyDescent="0.25">
      <c r="A160" s="1">
        <v>45700</v>
      </c>
      <c r="B160" s="4">
        <v>626.04</v>
      </c>
      <c r="C160" s="4">
        <v>76720810</v>
      </c>
      <c r="D160" s="9"/>
      <c r="F160" s="5"/>
      <c r="G160" s="4"/>
    </row>
    <row r="161" spans="1:7" x14ac:dyDescent="0.25">
      <c r="A161" s="1">
        <v>45701</v>
      </c>
      <c r="B161" s="4">
        <v>626.04</v>
      </c>
      <c r="C161" s="4">
        <v>76720810</v>
      </c>
      <c r="D161" s="9"/>
      <c r="F161" s="5"/>
      <c r="G161" s="4"/>
    </row>
    <row r="162" spans="1:7" x14ac:dyDescent="0.25">
      <c r="A162" s="1">
        <v>45702</v>
      </c>
      <c r="B162" s="4">
        <v>636.78</v>
      </c>
      <c r="C162" s="4">
        <v>76720810</v>
      </c>
      <c r="D162" s="9"/>
      <c r="F162" s="5"/>
      <c r="G162" s="4"/>
    </row>
    <row r="163" spans="1:7" x14ac:dyDescent="0.25">
      <c r="A163" s="1">
        <v>45705</v>
      </c>
      <c r="B163" s="4">
        <v>644.45000000000005</v>
      </c>
      <c r="C163" s="4">
        <v>76720810</v>
      </c>
      <c r="D163" s="9"/>
      <c r="F163" s="5"/>
      <c r="G163" s="4"/>
    </row>
    <row r="164" spans="1:7" x14ac:dyDescent="0.25">
      <c r="A164" s="1">
        <v>45706</v>
      </c>
      <c r="B164" s="4">
        <v>646.76</v>
      </c>
      <c r="C164" s="4">
        <v>76720810</v>
      </c>
      <c r="D164" s="9"/>
      <c r="F164" s="5"/>
      <c r="G164" s="4"/>
    </row>
    <row r="165" spans="1:7" x14ac:dyDescent="0.25">
      <c r="A165" s="1">
        <v>45707</v>
      </c>
      <c r="B165" s="4">
        <v>650.59</v>
      </c>
      <c r="C165" s="4">
        <v>76720810</v>
      </c>
      <c r="D165" s="9"/>
      <c r="F165" s="5"/>
      <c r="G165" s="4"/>
    </row>
    <row r="166" spans="1:7" x14ac:dyDescent="0.25">
      <c r="A166" s="1">
        <v>45708</v>
      </c>
      <c r="B166" s="4">
        <v>713.5</v>
      </c>
      <c r="C166" s="4">
        <v>76720810</v>
      </c>
      <c r="D166" s="9"/>
      <c r="F166" s="5"/>
      <c r="G166" s="4"/>
    </row>
    <row r="167" spans="1:7" x14ac:dyDescent="0.25">
      <c r="A167" s="1">
        <v>45709</v>
      </c>
      <c r="B167" s="4">
        <v>703.53</v>
      </c>
      <c r="C167" s="4">
        <v>76720810</v>
      </c>
      <c r="D167" s="9"/>
      <c r="F167" s="5"/>
      <c r="G167" s="4"/>
    </row>
    <row r="168" spans="1:7" x14ac:dyDescent="0.25">
      <c r="A168" s="1">
        <v>45712</v>
      </c>
      <c r="B168" s="4">
        <v>678.98</v>
      </c>
      <c r="C168" s="4">
        <v>76720810</v>
      </c>
      <c r="D168" s="9"/>
      <c r="F168" s="5"/>
      <c r="G168" s="4"/>
    </row>
    <row r="169" spans="1:7" x14ac:dyDescent="0.25">
      <c r="A169" s="1">
        <v>45713</v>
      </c>
      <c r="B169" s="4">
        <v>666.7</v>
      </c>
      <c r="C169" s="4">
        <v>76720810</v>
      </c>
      <c r="D169" s="9"/>
      <c r="F169" s="5"/>
      <c r="G169" s="4"/>
    </row>
    <row r="170" spans="1:7" x14ac:dyDescent="0.25">
      <c r="A170" s="1">
        <v>45714</v>
      </c>
      <c r="B170" s="4">
        <v>679.75</v>
      </c>
      <c r="C170" s="4">
        <v>76720810</v>
      </c>
      <c r="D170" s="9"/>
      <c r="F170" s="5"/>
      <c r="G170" s="4"/>
    </row>
    <row r="171" spans="1:7" x14ac:dyDescent="0.25">
      <c r="A171" s="1">
        <v>45715</v>
      </c>
      <c r="B171" s="4">
        <v>685.88</v>
      </c>
      <c r="C171" s="4">
        <v>76720810</v>
      </c>
      <c r="D171" s="9"/>
      <c r="F171" s="5"/>
      <c r="G171" s="4"/>
    </row>
    <row r="172" spans="1:7" x14ac:dyDescent="0.25">
      <c r="A172" s="1">
        <v>45716</v>
      </c>
      <c r="B172" s="4">
        <v>667.47</v>
      </c>
      <c r="C172" s="4">
        <v>76720810</v>
      </c>
      <c r="D172" s="9"/>
      <c r="F172" s="5"/>
      <c r="G172" s="4"/>
    </row>
    <row r="173" spans="1:7" x14ac:dyDescent="0.25">
      <c r="A173" s="1">
        <v>45719</v>
      </c>
      <c r="B173" s="4">
        <v>648.29</v>
      </c>
      <c r="C173" s="4">
        <v>76720810</v>
      </c>
      <c r="D173" s="9"/>
      <c r="F173" s="5"/>
      <c r="G173" s="4"/>
    </row>
    <row r="174" spans="1:7" x14ac:dyDescent="0.25">
      <c r="A174" s="1">
        <v>45720</v>
      </c>
      <c r="B174" s="4">
        <v>641.39</v>
      </c>
      <c r="C174" s="4">
        <v>76720810</v>
      </c>
      <c r="D174" s="9"/>
      <c r="F174" s="5"/>
      <c r="G174" s="4"/>
    </row>
    <row r="175" spans="1:7" x14ac:dyDescent="0.25">
      <c r="A175" s="1">
        <v>45721</v>
      </c>
      <c r="B175" s="4">
        <v>644.45000000000005</v>
      </c>
      <c r="C175" s="4">
        <v>76720810</v>
      </c>
      <c r="D175" s="9"/>
      <c r="F175" s="5"/>
      <c r="G175" s="4"/>
    </row>
    <row r="176" spans="1:7" x14ac:dyDescent="0.25">
      <c r="A176" s="1">
        <v>45722</v>
      </c>
      <c r="B176" s="4">
        <v>624.51</v>
      </c>
      <c r="C176" s="4">
        <v>76720810</v>
      </c>
      <c r="D176" s="9"/>
      <c r="F176" s="5"/>
      <c r="G176" s="4"/>
    </row>
    <row r="177" spans="1:7" x14ac:dyDescent="0.25">
      <c r="A177" s="1">
        <v>45723</v>
      </c>
      <c r="B177" s="4">
        <v>608.4</v>
      </c>
      <c r="C177" s="4">
        <v>76720810</v>
      </c>
      <c r="D177" s="9"/>
      <c r="F177" s="5"/>
      <c r="G177" s="4"/>
    </row>
    <row r="178" spans="1:7" x14ac:dyDescent="0.25">
      <c r="A178" s="1">
        <v>45726</v>
      </c>
      <c r="B178" s="4">
        <v>615.29999999999995</v>
      </c>
      <c r="C178" s="4">
        <v>76720810</v>
      </c>
      <c r="D178" s="9"/>
      <c r="F178" s="5"/>
      <c r="G178" s="4"/>
    </row>
    <row r="179" spans="1:7" x14ac:dyDescent="0.25">
      <c r="A179" s="1">
        <v>45727</v>
      </c>
      <c r="B179" s="4">
        <v>579.24</v>
      </c>
      <c r="C179" s="4">
        <v>76720810</v>
      </c>
      <c r="D179" s="9"/>
      <c r="F179" s="5"/>
      <c r="G179" s="4"/>
    </row>
    <row r="180" spans="1:7" x14ac:dyDescent="0.25">
      <c r="A180" s="1">
        <v>45728</v>
      </c>
      <c r="B180" s="4">
        <v>569.27</v>
      </c>
      <c r="C180" s="4">
        <v>76720810</v>
      </c>
      <c r="D180" s="9"/>
      <c r="F180" s="5"/>
      <c r="G180" s="4"/>
    </row>
    <row r="181" spans="1:7" x14ac:dyDescent="0.25">
      <c r="A181" s="1">
        <v>45729</v>
      </c>
      <c r="B181" s="4">
        <v>567.73</v>
      </c>
      <c r="C181" s="4">
        <v>76720810</v>
      </c>
      <c r="D181" s="9"/>
      <c r="F181" s="5"/>
      <c r="G181" s="4"/>
    </row>
    <row r="182" spans="1:7" x14ac:dyDescent="0.25">
      <c r="A182" s="1">
        <v>45730</v>
      </c>
      <c r="B182" s="4">
        <v>567.73</v>
      </c>
      <c r="C182" s="4">
        <v>76720810</v>
      </c>
      <c r="D182" s="9"/>
      <c r="F182" s="5"/>
      <c r="G182" s="4"/>
    </row>
    <row r="183" spans="1:7" x14ac:dyDescent="0.25">
      <c r="A183" s="1">
        <v>45733</v>
      </c>
      <c r="B183" s="4">
        <v>586.91</v>
      </c>
      <c r="C183" s="4">
        <v>76720810</v>
      </c>
      <c r="D183" s="9"/>
      <c r="F183" s="5"/>
      <c r="G183" s="4"/>
    </row>
    <row r="184" spans="1:7" x14ac:dyDescent="0.25">
      <c r="A184" s="1">
        <v>45734</v>
      </c>
      <c r="B184" s="4">
        <v>606.09</v>
      </c>
      <c r="C184" s="4">
        <v>76720810</v>
      </c>
      <c r="D184" s="9"/>
      <c r="F184" s="5"/>
      <c r="G184" s="4"/>
    </row>
    <row r="185" spans="1:7" x14ac:dyDescent="0.25">
      <c r="A185" s="1">
        <v>45735</v>
      </c>
      <c r="B185" s="4">
        <v>574.64</v>
      </c>
      <c r="C185" s="4">
        <v>76720810</v>
      </c>
      <c r="D185" s="9"/>
      <c r="F185" s="5"/>
      <c r="G185" s="4"/>
    </row>
    <row r="186" spans="1:7" x14ac:dyDescent="0.25">
      <c r="A186" s="1">
        <v>45736</v>
      </c>
      <c r="B186" s="4">
        <v>575.41</v>
      </c>
      <c r="C186" s="4">
        <v>76720810</v>
      </c>
      <c r="D186" s="9"/>
      <c r="F186" s="5"/>
      <c r="G186" s="4"/>
    </row>
    <row r="187" spans="1:7" x14ac:dyDescent="0.25">
      <c r="A187" s="1">
        <v>45737</v>
      </c>
      <c r="B187" s="4">
        <v>577.71</v>
      </c>
      <c r="C187" s="4">
        <v>76720810</v>
      </c>
      <c r="D187" s="9"/>
      <c r="F187" s="5"/>
      <c r="G187" s="4"/>
    </row>
    <row r="188" spans="1:7" x14ac:dyDescent="0.25">
      <c r="A188" s="1">
        <v>45740</v>
      </c>
      <c r="B188" s="4">
        <v>582.30999999999995</v>
      </c>
      <c r="C188" s="4">
        <v>76720810</v>
      </c>
      <c r="D188" s="9"/>
      <c r="F188" s="5"/>
      <c r="G188" s="4"/>
    </row>
    <row r="189" spans="1:7" x14ac:dyDescent="0.25">
      <c r="A189" s="1">
        <v>45741</v>
      </c>
      <c r="B189" s="4">
        <v>609.92999999999995</v>
      </c>
      <c r="C189" s="4">
        <v>76720810</v>
      </c>
      <c r="D189" s="9"/>
      <c r="F189" s="5"/>
      <c r="G189" s="4"/>
    </row>
    <row r="190" spans="1:7" x14ac:dyDescent="0.25">
      <c r="A190" s="1">
        <v>45742</v>
      </c>
      <c r="B190" s="4">
        <v>616.84</v>
      </c>
      <c r="C190" s="4">
        <v>76720810</v>
      </c>
      <c r="D190" s="9"/>
      <c r="F190" s="5"/>
      <c r="G190" s="4"/>
    </row>
    <row r="191" spans="1:7" x14ac:dyDescent="0.25">
      <c r="A191" s="1">
        <v>45743</v>
      </c>
      <c r="B191" s="4">
        <v>613.77</v>
      </c>
      <c r="C191" s="4">
        <v>76720810</v>
      </c>
      <c r="D191" s="9"/>
      <c r="F191" s="5"/>
      <c r="G191" s="4"/>
    </row>
    <row r="192" spans="1:7" x14ac:dyDescent="0.25">
      <c r="A192" s="1">
        <v>45744</v>
      </c>
      <c r="B192" s="4">
        <v>622.97</v>
      </c>
      <c r="C192" s="4">
        <v>76720810</v>
      </c>
      <c r="D192" s="9"/>
      <c r="F192" s="5"/>
      <c r="G192" s="4"/>
    </row>
    <row r="193" spans="1:7" x14ac:dyDescent="0.25">
      <c r="A193" s="1">
        <v>45747</v>
      </c>
      <c r="B193" s="4">
        <v>592.28</v>
      </c>
      <c r="C193" s="4">
        <v>76720810</v>
      </c>
      <c r="D193" s="9"/>
      <c r="F193" s="5"/>
      <c r="G193" s="4"/>
    </row>
    <row r="194" spans="1:7" x14ac:dyDescent="0.25">
      <c r="A194" s="1">
        <v>45748</v>
      </c>
      <c r="B194" s="4">
        <v>572.34</v>
      </c>
      <c r="C194" s="4">
        <v>76720810</v>
      </c>
      <c r="D194" s="9"/>
      <c r="F194" s="5"/>
      <c r="G194" s="4"/>
    </row>
    <row r="195" spans="1:7" x14ac:dyDescent="0.25">
      <c r="A195" s="1">
        <v>45749</v>
      </c>
      <c r="B195" s="4">
        <v>567.73</v>
      </c>
      <c r="C195" s="4">
        <v>76720810</v>
      </c>
      <c r="D195" s="9"/>
      <c r="F195" s="5"/>
      <c r="G195" s="4"/>
    </row>
    <row r="196" spans="1:7" x14ac:dyDescent="0.25">
      <c r="A196" s="1">
        <v>45750</v>
      </c>
      <c r="B196" s="4">
        <v>577.71</v>
      </c>
      <c r="C196" s="4">
        <v>76720810</v>
      </c>
      <c r="D196" s="9"/>
      <c r="F196" s="5"/>
      <c r="G196" s="4"/>
    </row>
    <row r="197" spans="1:7" x14ac:dyDescent="0.25">
      <c r="A197" s="1">
        <v>45751</v>
      </c>
      <c r="B197" s="4">
        <v>552.39</v>
      </c>
      <c r="C197" s="4">
        <v>76720810</v>
      </c>
      <c r="D197" s="9"/>
      <c r="F197" s="5"/>
      <c r="G197" s="4"/>
    </row>
    <row r="198" spans="1:7" x14ac:dyDescent="0.25">
      <c r="A198" s="1">
        <v>45754</v>
      </c>
      <c r="B198" s="4">
        <v>533.21</v>
      </c>
      <c r="C198" s="4">
        <v>76720810</v>
      </c>
      <c r="D198" s="9"/>
      <c r="F198" s="5"/>
      <c r="G198" s="4"/>
    </row>
    <row r="199" spans="1:7" x14ac:dyDescent="0.25">
      <c r="A199" s="1">
        <v>45755</v>
      </c>
      <c r="B199" s="4">
        <v>530.14</v>
      </c>
      <c r="C199" s="4">
        <v>76720810</v>
      </c>
      <c r="D199" s="9"/>
      <c r="F199" s="5"/>
      <c r="G199" s="4"/>
    </row>
    <row r="200" spans="1:7" x14ac:dyDescent="0.25">
      <c r="A200" s="1">
        <v>45756</v>
      </c>
      <c r="B200" s="4">
        <v>526.29999999999995</v>
      </c>
      <c r="C200" s="4">
        <v>76720810</v>
      </c>
      <c r="D200" s="9"/>
      <c r="F200" s="5"/>
      <c r="G200" s="4"/>
    </row>
    <row r="201" spans="1:7" x14ac:dyDescent="0.25">
      <c r="A201" s="1">
        <v>45757</v>
      </c>
      <c r="B201" s="4">
        <v>571.57000000000005</v>
      </c>
      <c r="C201" s="4">
        <v>76720810</v>
      </c>
      <c r="D201" s="9"/>
      <c r="F201" s="5"/>
      <c r="G201" s="4"/>
    </row>
    <row r="202" spans="1:7" x14ac:dyDescent="0.25">
      <c r="A202" s="1">
        <v>45758</v>
      </c>
      <c r="B202" s="4">
        <v>552.39</v>
      </c>
      <c r="C202" s="4">
        <v>76720810</v>
      </c>
      <c r="D202" s="9"/>
      <c r="F202" s="5"/>
      <c r="G202" s="4"/>
    </row>
    <row r="203" spans="1:7" x14ac:dyDescent="0.25">
      <c r="A203" s="1">
        <v>45761</v>
      </c>
      <c r="B203" s="4">
        <v>563.13</v>
      </c>
      <c r="C203" s="4">
        <v>76720810</v>
      </c>
      <c r="D203" s="9"/>
      <c r="F203" s="5"/>
      <c r="G203" s="4"/>
    </row>
    <row r="204" spans="1:7" x14ac:dyDescent="0.25">
      <c r="A204" s="1">
        <v>45762</v>
      </c>
      <c r="B204" s="4">
        <v>572.34</v>
      </c>
      <c r="C204" s="4">
        <v>76720810</v>
      </c>
      <c r="D204" s="9"/>
      <c r="F204" s="5"/>
      <c r="G204" s="4"/>
    </row>
    <row r="205" spans="1:7" x14ac:dyDescent="0.25">
      <c r="A205" s="1">
        <v>45763</v>
      </c>
      <c r="B205" s="4">
        <v>575.41</v>
      </c>
      <c r="C205" s="4">
        <v>76720810</v>
      </c>
      <c r="D205" s="9"/>
      <c r="F205" s="5"/>
      <c r="G205" s="4"/>
    </row>
    <row r="206" spans="1:7" x14ac:dyDescent="0.25">
      <c r="A206" s="1">
        <v>45764</v>
      </c>
      <c r="B206" s="4">
        <v>571.57000000000005</v>
      </c>
      <c r="C206" s="4">
        <v>76720810</v>
      </c>
      <c r="D206" s="9"/>
      <c r="F206" s="5"/>
      <c r="G206" s="4"/>
    </row>
    <row r="207" spans="1:7" x14ac:dyDescent="0.25">
      <c r="A207" s="1">
        <v>45769</v>
      </c>
      <c r="B207" s="4">
        <v>563.13</v>
      </c>
      <c r="C207" s="4">
        <v>76720810</v>
      </c>
      <c r="D207" s="9"/>
      <c r="F207" s="5"/>
      <c r="G207" s="4"/>
    </row>
    <row r="208" spans="1:7" x14ac:dyDescent="0.25">
      <c r="A208" s="1">
        <v>45770</v>
      </c>
      <c r="B208" s="4">
        <v>595.35</v>
      </c>
      <c r="C208" s="4">
        <v>76720810</v>
      </c>
      <c r="D208" s="9"/>
      <c r="F208" s="5"/>
      <c r="G208" s="4"/>
    </row>
    <row r="209" spans="1:7" x14ac:dyDescent="0.25">
      <c r="A209" s="1">
        <v>45771</v>
      </c>
      <c r="B209" s="4">
        <v>586.91</v>
      </c>
      <c r="C209" s="4">
        <v>76720810</v>
      </c>
      <c r="D209" s="9"/>
      <c r="F209" s="5"/>
      <c r="G209" s="4"/>
    </row>
    <row r="210" spans="1:7" x14ac:dyDescent="0.25">
      <c r="A210" s="1">
        <v>45775</v>
      </c>
      <c r="B210" s="4">
        <v>586.91</v>
      </c>
      <c r="C210" s="4">
        <v>76720810</v>
      </c>
      <c r="D210" s="9"/>
      <c r="F210" s="5"/>
      <c r="G210" s="4"/>
    </row>
    <row r="211" spans="1:7" x14ac:dyDescent="0.25">
      <c r="A211" s="1">
        <v>45776</v>
      </c>
      <c r="B211" s="4">
        <v>603.79</v>
      </c>
      <c r="C211" s="4">
        <v>76720810</v>
      </c>
      <c r="D211" s="9"/>
      <c r="F211" s="5"/>
      <c r="G211" s="4"/>
    </row>
    <row r="212" spans="1:7" x14ac:dyDescent="0.25">
      <c r="A212" s="1">
        <v>45777</v>
      </c>
      <c r="B212" s="4">
        <v>593.82000000000005</v>
      </c>
      <c r="C212" s="4">
        <v>76720810</v>
      </c>
      <c r="D212" s="9"/>
      <c r="F212" s="5"/>
      <c r="G212" s="4"/>
    </row>
    <row r="213" spans="1:7" x14ac:dyDescent="0.25">
      <c r="A213" s="1">
        <v>45778</v>
      </c>
      <c r="B213" s="4">
        <v>586.91</v>
      </c>
      <c r="C213" s="4">
        <v>76720810</v>
      </c>
      <c r="D213" s="9"/>
      <c r="F213" s="5"/>
      <c r="G213" s="4"/>
    </row>
    <row r="214" spans="1:7" x14ac:dyDescent="0.25">
      <c r="A214" s="1">
        <v>45779</v>
      </c>
      <c r="B214" s="4">
        <v>599.19000000000005</v>
      </c>
      <c r="C214" s="4">
        <v>76720810</v>
      </c>
      <c r="D214" s="9"/>
      <c r="F214" s="5"/>
      <c r="G214" s="4"/>
    </row>
    <row r="215" spans="1:7" x14ac:dyDescent="0.25">
      <c r="A215" s="1">
        <v>45782</v>
      </c>
      <c r="B215" s="4">
        <v>588.45000000000005</v>
      </c>
      <c r="C215" s="4">
        <v>76720810</v>
      </c>
      <c r="D215" s="9"/>
      <c r="F215" s="5"/>
      <c r="G215" s="4"/>
    </row>
    <row r="216" spans="1:7" x14ac:dyDescent="0.25">
      <c r="A216" s="1">
        <v>45783</v>
      </c>
      <c r="B216" s="4">
        <v>597.66</v>
      </c>
      <c r="C216" s="4">
        <v>76720810</v>
      </c>
      <c r="D216" s="9"/>
      <c r="F216" s="5"/>
      <c r="G216" s="4"/>
    </row>
    <row r="217" spans="1:7" x14ac:dyDescent="0.25">
      <c r="A217" s="1">
        <v>45784</v>
      </c>
      <c r="B217" s="4">
        <v>603.03</v>
      </c>
      <c r="C217" s="4">
        <v>76720810</v>
      </c>
      <c r="D217" s="9"/>
      <c r="F217" s="5"/>
      <c r="G217" s="4"/>
    </row>
    <row r="218" spans="1:7" x14ac:dyDescent="0.25">
      <c r="A218" s="1">
        <v>45785</v>
      </c>
      <c r="B218" s="4">
        <v>606.09</v>
      </c>
      <c r="C218" s="4">
        <v>76720810</v>
      </c>
      <c r="D218" s="9"/>
      <c r="F218" s="5"/>
      <c r="G218" s="4"/>
    </row>
    <row r="219" spans="1:7" x14ac:dyDescent="0.25">
      <c r="A219" s="1">
        <v>45786</v>
      </c>
      <c r="B219" s="4">
        <v>609.16</v>
      </c>
      <c r="C219" s="4">
        <v>76720810</v>
      </c>
      <c r="D219" s="9"/>
      <c r="F219" s="5"/>
      <c r="G219" s="4"/>
    </row>
    <row r="220" spans="1:7" x14ac:dyDescent="0.25">
      <c r="A220" s="1">
        <v>45789</v>
      </c>
      <c r="B220" s="4">
        <v>626.80999999999995</v>
      </c>
      <c r="C220" s="4">
        <v>76720810</v>
      </c>
      <c r="D220" s="9"/>
      <c r="F220" s="5"/>
      <c r="G220" s="4"/>
    </row>
    <row r="221" spans="1:7" x14ac:dyDescent="0.25">
      <c r="A221" s="1">
        <v>45790</v>
      </c>
      <c r="B221" s="4">
        <v>662.87</v>
      </c>
      <c r="C221" s="4">
        <v>76720810</v>
      </c>
      <c r="D221" s="9"/>
      <c r="F221" s="5"/>
      <c r="G221" s="4"/>
    </row>
    <row r="222" spans="1:7" x14ac:dyDescent="0.25">
      <c r="A222" s="1">
        <v>45791</v>
      </c>
      <c r="B222" s="4">
        <v>636.02</v>
      </c>
      <c r="C222" s="4">
        <v>76720810</v>
      </c>
      <c r="D222" s="9"/>
      <c r="F222" s="5"/>
      <c r="G222" s="4"/>
    </row>
    <row r="223" spans="1:7" x14ac:dyDescent="0.25">
      <c r="A223" s="1">
        <v>45792</v>
      </c>
      <c r="B223" s="4">
        <v>644.45000000000005</v>
      </c>
      <c r="C223" s="4">
        <v>76720810</v>
      </c>
      <c r="D223" s="9"/>
      <c r="F223" s="5"/>
      <c r="G223" s="4"/>
    </row>
    <row r="224" spans="1:7" x14ac:dyDescent="0.25">
      <c r="A224" s="1">
        <v>45793</v>
      </c>
      <c r="B224" s="4">
        <v>640.62</v>
      </c>
      <c r="C224" s="4">
        <v>76720810</v>
      </c>
      <c r="D224" s="9"/>
      <c r="F224" s="5"/>
      <c r="G224" s="4"/>
    </row>
    <row r="225" spans="1:7" x14ac:dyDescent="0.25">
      <c r="A225" s="1">
        <v>45796</v>
      </c>
      <c r="B225" s="4">
        <v>626.04</v>
      </c>
      <c r="C225" s="4">
        <v>76720810</v>
      </c>
      <c r="D225" s="9"/>
      <c r="F225" s="5"/>
      <c r="G225" s="4"/>
    </row>
    <row r="226" spans="1:7" x14ac:dyDescent="0.25">
      <c r="A226" s="1">
        <v>45797</v>
      </c>
      <c r="B226" s="4">
        <v>627.58000000000004</v>
      </c>
      <c r="C226" s="4">
        <v>76720810</v>
      </c>
      <c r="D226" s="9"/>
      <c r="F226" s="5"/>
      <c r="G226" s="4"/>
    </row>
    <row r="227" spans="1:7" x14ac:dyDescent="0.25">
      <c r="A227" s="1">
        <v>45798</v>
      </c>
      <c r="B227" s="4">
        <v>591.52</v>
      </c>
      <c r="C227" s="4">
        <v>76720810</v>
      </c>
      <c r="D227" s="9"/>
      <c r="F227" s="5"/>
      <c r="G227" s="4"/>
    </row>
    <row r="228" spans="1:7" x14ac:dyDescent="0.25">
      <c r="A228" s="1">
        <v>45799</v>
      </c>
      <c r="B228" s="4">
        <v>583.85</v>
      </c>
      <c r="C228" s="4">
        <v>76720810</v>
      </c>
      <c r="D228" s="9"/>
      <c r="F228" s="5"/>
      <c r="G228" s="4"/>
    </row>
    <row r="229" spans="1:7" x14ac:dyDescent="0.25">
      <c r="A229" s="1">
        <v>45800</v>
      </c>
      <c r="B229" s="4">
        <v>586.91</v>
      </c>
      <c r="C229" s="4">
        <v>76720810</v>
      </c>
      <c r="D229" s="9"/>
      <c r="F229" s="5"/>
      <c r="G229" s="4"/>
    </row>
    <row r="230" spans="1:7" x14ac:dyDescent="0.25">
      <c r="A230" s="1">
        <v>45803</v>
      </c>
      <c r="B230" s="4">
        <v>569.27</v>
      </c>
      <c r="C230" s="4">
        <v>76720810</v>
      </c>
      <c r="D230" s="9"/>
      <c r="F230" s="5"/>
      <c r="G230" s="4"/>
    </row>
    <row r="231" spans="1:7" x14ac:dyDescent="0.25">
      <c r="A231" s="1">
        <v>45804</v>
      </c>
      <c r="B231" s="4">
        <v>558.53</v>
      </c>
      <c r="C231" s="4">
        <v>76720810</v>
      </c>
      <c r="D231" s="9"/>
      <c r="F231" s="5"/>
      <c r="G231" s="4"/>
    </row>
    <row r="232" spans="1:7" x14ac:dyDescent="0.25">
      <c r="A232" s="1">
        <v>45805</v>
      </c>
      <c r="B232" s="4">
        <v>574.64</v>
      </c>
      <c r="C232" s="4">
        <v>76720810</v>
      </c>
      <c r="D232" s="9"/>
      <c r="F232" s="5"/>
      <c r="G232" s="4"/>
    </row>
    <row r="233" spans="1:7" x14ac:dyDescent="0.25">
      <c r="A233" s="1">
        <v>45806</v>
      </c>
      <c r="B233" s="4">
        <v>576.16999999999996</v>
      </c>
      <c r="C233" s="4">
        <v>76720810</v>
      </c>
      <c r="D233" s="9"/>
      <c r="F233" s="5"/>
      <c r="G233" s="4"/>
    </row>
    <row r="234" spans="1:7" x14ac:dyDescent="0.25">
      <c r="A234" s="1">
        <v>45807</v>
      </c>
      <c r="B234" s="4">
        <v>596.12</v>
      </c>
      <c r="C234" s="4">
        <v>76720810</v>
      </c>
      <c r="D234" s="9"/>
      <c r="F234" s="5"/>
      <c r="G234" s="4"/>
    </row>
    <row r="235" spans="1:7" x14ac:dyDescent="0.25">
      <c r="A235" s="1">
        <v>45810</v>
      </c>
      <c r="B235" s="4">
        <v>581.54</v>
      </c>
      <c r="C235" s="4">
        <v>76720810</v>
      </c>
      <c r="D235" s="9"/>
      <c r="F235" s="5"/>
      <c r="G235" s="4"/>
    </row>
    <row r="236" spans="1:7" x14ac:dyDescent="0.25">
      <c r="A236" s="1">
        <v>45811</v>
      </c>
      <c r="B236" s="4">
        <v>583.08000000000004</v>
      </c>
      <c r="C236" s="4">
        <v>76720810</v>
      </c>
      <c r="D236" s="9"/>
      <c r="F236" s="5"/>
      <c r="G236" s="4"/>
    </row>
    <row r="237" spans="1:7" x14ac:dyDescent="0.25">
      <c r="A237" s="1">
        <v>45812</v>
      </c>
      <c r="B237" s="4">
        <v>604.55999999999995</v>
      </c>
      <c r="C237" s="4">
        <v>76720810</v>
      </c>
      <c r="D237" s="9"/>
      <c r="F237" s="5"/>
      <c r="G237" s="4"/>
    </row>
    <row r="238" spans="1:7" x14ac:dyDescent="0.25">
      <c r="A238" s="1">
        <v>45813</v>
      </c>
      <c r="B238" s="4">
        <v>602.26</v>
      </c>
      <c r="C238" s="4">
        <v>76720810</v>
      </c>
      <c r="D238" s="9"/>
      <c r="F238" s="5"/>
      <c r="G238" s="4"/>
    </row>
    <row r="239" spans="1:7" x14ac:dyDescent="0.25">
      <c r="A239" s="1">
        <v>45814</v>
      </c>
      <c r="B239" s="4">
        <v>602.26</v>
      </c>
      <c r="C239" s="4">
        <v>76720810</v>
      </c>
      <c r="D239" s="9"/>
      <c r="F239" s="5"/>
      <c r="G239" s="4"/>
    </row>
    <row r="240" spans="1:7" x14ac:dyDescent="0.25">
      <c r="A240" s="1">
        <v>45818</v>
      </c>
      <c r="B240" s="4">
        <v>601.49</v>
      </c>
      <c r="C240" s="4">
        <v>76720810</v>
      </c>
      <c r="D240" s="9"/>
      <c r="F240" s="5"/>
      <c r="G240" s="4"/>
    </row>
    <row r="241" spans="1:7" x14ac:dyDescent="0.25">
      <c r="A241" s="1">
        <v>45819</v>
      </c>
      <c r="B241" s="4">
        <v>595.35</v>
      </c>
      <c r="C241" s="4">
        <v>76720810</v>
      </c>
      <c r="D241" s="9"/>
      <c r="F241" s="5"/>
      <c r="G241" s="4"/>
    </row>
    <row r="242" spans="1:7" x14ac:dyDescent="0.25">
      <c r="A242" s="1">
        <v>45820</v>
      </c>
      <c r="B242" s="4">
        <v>581.54</v>
      </c>
      <c r="C242" s="4">
        <v>76720810</v>
      </c>
      <c r="D242" s="9"/>
      <c r="F242" s="5"/>
      <c r="G242" s="4"/>
    </row>
    <row r="243" spans="1:7" x14ac:dyDescent="0.25">
      <c r="A243" s="1">
        <v>45821</v>
      </c>
      <c r="B243" s="4">
        <v>567.73</v>
      </c>
      <c r="C243" s="4">
        <v>76720810</v>
      </c>
      <c r="D243" s="9"/>
      <c r="F243" s="5"/>
      <c r="G243" s="4"/>
    </row>
    <row r="244" spans="1:7" x14ac:dyDescent="0.25">
      <c r="A244" s="1">
        <v>45824</v>
      </c>
      <c r="B244" s="4">
        <v>572.34</v>
      </c>
      <c r="C244" s="4">
        <v>76720810</v>
      </c>
      <c r="D244" s="9"/>
      <c r="F244" s="5"/>
      <c r="G244" s="4"/>
    </row>
    <row r="245" spans="1:7" x14ac:dyDescent="0.25">
      <c r="A245" s="1">
        <v>45825</v>
      </c>
      <c r="B245" s="4">
        <v>596.89</v>
      </c>
      <c r="C245" s="4">
        <v>76720810</v>
      </c>
      <c r="D245" s="9"/>
      <c r="F245" s="5"/>
      <c r="G245" s="4"/>
    </row>
    <row r="246" spans="1:7" x14ac:dyDescent="0.25">
      <c r="A246" s="1">
        <v>45826</v>
      </c>
      <c r="B246" s="4">
        <v>582.30999999999995</v>
      </c>
      <c r="C246" s="4">
        <v>76720810</v>
      </c>
      <c r="D246" s="9"/>
      <c r="F246" s="5"/>
      <c r="G246" s="4"/>
    </row>
    <row r="247" spans="1:7" x14ac:dyDescent="0.25">
      <c r="A247" s="1">
        <v>45827</v>
      </c>
      <c r="B247" s="4">
        <v>570.04</v>
      </c>
      <c r="C247" s="4">
        <v>76720810</v>
      </c>
      <c r="D247" s="9"/>
      <c r="F247" s="5"/>
      <c r="G247" s="4"/>
    </row>
    <row r="248" spans="1:7" x14ac:dyDescent="0.25">
      <c r="A248" s="1">
        <v>45828</v>
      </c>
      <c r="B248" s="4">
        <v>566.20000000000005</v>
      </c>
      <c r="C248" s="4">
        <v>76720810</v>
      </c>
      <c r="D248" s="9"/>
      <c r="F248" s="5"/>
      <c r="G248" s="4"/>
    </row>
    <row r="249" spans="1:7" x14ac:dyDescent="0.25">
      <c r="A249" s="1">
        <v>45831</v>
      </c>
      <c r="B249" s="4">
        <v>564.66999999999996</v>
      </c>
      <c r="C249" s="4">
        <v>76720810</v>
      </c>
      <c r="D249" s="9"/>
      <c r="F249" s="5"/>
      <c r="G249" s="4"/>
    </row>
    <row r="250" spans="1:7" x14ac:dyDescent="0.25">
      <c r="A250" s="1">
        <v>45832</v>
      </c>
      <c r="B250" s="4">
        <v>557.76</v>
      </c>
      <c r="C250" s="4">
        <v>76720810</v>
      </c>
      <c r="D250" s="9"/>
      <c r="F250" s="5"/>
      <c r="G250" s="4"/>
    </row>
    <row r="251" spans="1:7" x14ac:dyDescent="0.25">
      <c r="A251" s="1">
        <v>45833</v>
      </c>
      <c r="B251" s="4">
        <v>563.9</v>
      </c>
      <c r="C251" s="4">
        <v>76720810</v>
      </c>
      <c r="D251" s="9"/>
      <c r="F251" s="5"/>
      <c r="G251" s="4"/>
    </row>
    <row r="252" spans="1:7" x14ac:dyDescent="0.25">
      <c r="A252" s="1">
        <v>45834</v>
      </c>
      <c r="B252" s="4">
        <v>570.79999999999995</v>
      </c>
      <c r="C252" s="4">
        <v>76720810</v>
      </c>
      <c r="D252" s="9"/>
      <c r="F252" s="5"/>
      <c r="G252" s="4"/>
    </row>
    <row r="253" spans="1:7" x14ac:dyDescent="0.25">
      <c r="A253" s="1">
        <v>45835</v>
      </c>
      <c r="B253" s="4">
        <v>583.85</v>
      </c>
      <c r="C253" s="4">
        <v>76720810</v>
      </c>
      <c r="D253" s="9"/>
      <c r="F253" s="5"/>
      <c r="G253" s="4"/>
    </row>
    <row r="254" spans="1:7" x14ac:dyDescent="0.25">
      <c r="A254" s="1">
        <v>45838</v>
      </c>
      <c r="B254" s="4">
        <v>596.89</v>
      </c>
      <c r="C254" s="4">
        <v>76720810</v>
      </c>
      <c r="D254" s="9"/>
      <c r="F254" s="5"/>
      <c r="G254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4"/>
  <sheetViews>
    <sheetView topLeftCell="F1" zoomScale="85" zoomScaleNormal="85" workbookViewId="0">
      <selection activeCell="E35" sqref="E35"/>
    </sheetView>
  </sheetViews>
  <sheetFormatPr defaultRowHeight="13.2" x14ac:dyDescent="0.25"/>
  <cols>
    <col min="1" max="1" width="18.5546875" style="1" customWidth="1"/>
    <col min="5" max="5" width="14.5546875" bestFit="1" customWidth="1"/>
    <col min="6" max="6" width="27.5546875" bestFit="1" customWidth="1"/>
  </cols>
  <sheetData>
    <row r="1" spans="1:6" ht="14.4" x14ac:dyDescent="0.3">
      <c r="A1" s="3" t="s">
        <v>2</v>
      </c>
      <c r="B1" t="s">
        <v>6</v>
      </c>
      <c r="C1" t="s">
        <v>13</v>
      </c>
      <c r="D1" t="s">
        <v>14</v>
      </c>
      <c r="E1" s="3" t="s">
        <v>16</v>
      </c>
      <c r="F1" s="3" t="s">
        <v>30</v>
      </c>
    </row>
    <row r="2" spans="1:6" x14ac:dyDescent="0.25">
      <c r="A2" s="1">
        <v>45474</v>
      </c>
      <c r="B2">
        <v>4.95</v>
      </c>
      <c r="C2">
        <v>0.39524245196706315</v>
      </c>
      <c r="D2">
        <v>12.523958333333333</v>
      </c>
      <c r="E2">
        <v>21.86</v>
      </c>
      <c r="F2">
        <v>8.64</v>
      </c>
    </row>
    <row r="3" spans="1:6" x14ac:dyDescent="0.25">
      <c r="A3" s="1">
        <v>45475</v>
      </c>
      <c r="B3">
        <v>4.96</v>
      </c>
      <c r="D3">
        <v>12.549259259259259</v>
      </c>
      <c r="E3">
        <v>21.86</v>
      </c>
    </row>
    <row r="4" spans="1:6" x14ac:dyDescent="0.25">
      <c r="A4" s="1">
        <v>45476</v>
      </c>
      <c r="B4">
        <v>4.8099999999999996</v>
      </c>
      <c r="D4">
        <v>12.169745370370368</v>
      </c>
      <c r="E4">
        <v>21.86</v>
      </c>
    </row>
    <row r="5" spans="1:6" x14ac:dyDescent="0.25">
      <c r="A5" s="1">
        <v>45477</v>
      </c>
      <c r="B5">
        <v>4.84</v>
      </c>
      <c r="D5">
        <v>12.245648148148147</v>
      </c>
      <c r="E5">
        <v>21.86</v>
      </c>
    </row>
    <row r="6" spans="1:6" x14ac:dyDescent="0.25">
      <c r="A6" s="1">
        <v>45478</v>
      </c>
      <c r="B6">
        <v>4.82</v>
      </c>
      <c r="D6">
        <v>12.195046296296297</v>
      </c>
      <c r="E6">
        <v>21.86</v>
      </c>
    </row>
    <row r="7" spans="1:6" x14ac:dyDescent="0.25">
      <c r="A7" s="1">
        <v>45481</v>
      </c>
      <c r="B7">
        <v>4.8099999999999996</v>
      </c>
      <c r="D7">
        <v>12.169745370370368</v>
      </c>
      <c r="E7">
        <v>21.86</v>
      </c>
    </row>
    <row r="8" spans="1:6" x14ac:dyDescent="0.25">
      <c r="A8" s="1">
        <v>45482</v>
      </c>
      <c r="B8">
        <v>4.91</v>
      </c>
      <c r="D8">
        <v>12.42275462962963</v>
      </c>
      <c r="E8">
        <v>21.86</v>
      </c>
    </row>
    <row r="9" spans="1:6" x14ac:dyDescent="0.25">
      <c r="A9" s="1">
        <v>45483</v>
      </c>
      <c r="B9">
        <v>4.91</v>
      </c>
      <c r="D9">
        <v>12.42275462962963</v>
      </c>
      <c r="E9">
        <v>21.86</v>
      </c>
    </row>
    <row r="10" spans="1:6" x14ac:dyDescent="0.25">
      <c r="A10" s="1">
        <v>45484</v>
      </c>
      <c r="B10">
        <v>5</v>
      </c>
      <c r="D10">
        <v>12.650462962962962</v>
      </c>
      <c r="E10">
        <v>21.86</v>
      </c>
    </row>
    <row r="11" spans="1:6" x14ac:dyDescent="0.25">
      <c r="A11" s="1">
        <v>45485</v>
      </c>
      <c r="B11">
        <v>5.08</v>
      </c>
      <c r="D11">
        <v>12.85287037037037</v>
      </c>
      <c r="E11">
        <v>21.86</v>
      </c>
    </row>
    <row r="12" spans="1:6" x14ac:dyDescent="0.25">
      <c r="A12" s="1">
        <v>45488</v>
      </c>
      <c r="B12">
        <v>4.95</v>
      </c>
      <c r="D12">
        <v>12.523958333333333</v>
      </c>
      <c r="E12">
        <v>21.86</v>
      </c>
    </row>
    <row r="13" spans="1:6" x14ac:dyDescent="0.25">
      <c r="A13" s="1">
        <v>45489</v>
      </c>
      <c r="B13">
        <v>5.19</v>
      </c>
      <c r="D13">
        <v>13.131180555555556</v>
      </c>
      <c r="E13">
        <v>21.86</v>
      </c>
    </row>
    <row r="14" spans="1:6" x14ac:dyDescent="0.25">
      <c r="A14" s="1">
        <v>45490</v>
      </c>
      <c r="B14">
        <v>5.38</v>
      </c>
      <c r="D14">
        <v>13.611898148148148</v>
      </c>
      <c r="E14">
        <v>21.86</v>
      </c>
    </row>
    <row r="15" spans="1:6" x14ac:dyDescent="0.25">
      <c r="A15" s="1">
        <v>45491</v>
      </c>
      <c r="B15">
        <v>5.46</v>
      </c>
      <c r="D15">
        <v>13.814305555555555</v>
      </c>
      <c r="E15">
        <v>21.86</v>
      </c>
    </row>
    <row r="16" spans="1:6" x14ac:dyDescent="0.25">
      <c r="A16" s="1">
        <v>45492</v>
      </c>
      <c r="B16">
        <v>5.75</v>
      </c>
      <c r="D16">
        <v>14.548032407407407</v>
      </c>
      <c r="E16">
        <v>21.86</v>
      </c>
    </row>
    <row r="17" spans="1:5" x14ac:dyDescent="0.25">
      <c r="A17" s="1">
        <v>45495</v>
      </c>
      <c r="B17">
        <v>5.77</v>
      </c>
      <c r="D17">
        <v>14.598634259259258</v>
      </c>
      <c r="E17">
        <v>21.86</v>
      </c>
    </row>
    <row r="18" spans="1:5" x14ac:dyDescent="0.25">
      <c r="A18" s="1">
        <v>45496</v>
      </c>
      <c r="B18">
        <v>5.88</v>
      </c>
      <c r="D18">
        <v>14.876944444444444</v>
      </c>
      <c r="E18">
        <v>21.86</v>
      </c>
    </row>
    <row r="19" spans="1:5" x14ac:dyDescent="0.25">
      <c r="A19" s="1">
        <v>45497</v>
      </c>
      <c r="B19">
        <v>5.9</v>
      </c>
      <c r="D19">
        <v>14.927546296296297</v>
      </c>
      <c r="E19">
        <v>21.86</v>
      </c>
    </row>
    <row r="20" spans="1:5" x14ac:dyDescent="0.25">
      <c r="A20" s="1">
        <v>45498</v>
      </c>
      <c r="B20">
        <v>5.75</v>
      </c>
      <c r="D20">
        <v>14.548032407407407</v>
      </c>
      <c r="E20">
        <v>21.86</v>
      </c>
    </row>
    <row r="21" spans="1:5" x14ac:dyDescent="0.25">
      <c r="A21" s="1">
        <v>45499</v>
      </c>
      <c r="B21">
        <v>5.65</v>
      </c>
      <c r="D21">
        <v>14.295023148148148</v>
      </c>
      <c r="E21">
        <v>21.86</v>
      </c>
    </row>
    <row r="22" spans="1:5" x14ac:dyDescent="0.25">
      <c r="A22" s="1">
        <v>45502</v>
      </c>
      <c r="B22">
        <v>5.8</v>
      </c>
      <c r="D22">
        <v>14.674537037037036</v>
      </c>
      <c r="E22">
        <v>21.86</v>
      </c>
    </row>
    <row r="23" spans="1:5" x14ac:dyDescent="0.25">
      <c r="A23" s="1">
        <v>45503</v>
      </c>
      <c r="B23">
        <v>5.75</v>
      </c>
      <c r="D23">
        <v>14.548032407407407</v>
      </c>
      <c r="E23">
        <v>21.86</v>
      </c>
    </row>
    <row r="24" spans="1:5" x14ac:dyDescent="0.25">
      <c r="A24" s="1">
        <v>45504</v>
      </c>
      <c r="B24">
        <v>5.82</v>
      </c>
      <c r="D24">
        <v>14.725138888888889</v>
      </c>
      <c r="E24">
        <v>21.86</v>
      </c>
    </row>
    <row r="25" spans="1:5" x14ac:dyDescent="0.25">
      <c r="A25" s="1">
        <v>45505</v>
      </c>
      <c r="B25">
        <v>6.03</v>
      </c>
      <c r="D25">
        <v>15.256458333333333</v>
      </c>
      <c r="E25">
        <v>21.86</v>
      </c>
    </row>
    <row r="26" spans="1:5" x14ac:dyDescent="0.25">
      <c r="A26" s="1">
        <v>45506</v>
      </c>
      <c r="B26">
        <v>5.99</v>
      </c>
      <c r="D26">
        <v>15.15525462962963</v>
      </c>
      <c r="E26">
        <v>21.86</v>
      </c>
    </row>
    <row r="27" spans="1:5" x14ac:dyDescent="0.25">
      <c r="A27" s="1">
        <v>45509</v>
      </c>
      <c r="B27">
        <v>5.65</v>
      </c>
      <c r="D27">
        <v>14.295023148148148</v>
      </c>
      <c r="E27">
        <v>21.86</v>
      </c>
    </row>
    <row r="28" spans="1:5" x14ac:dyDescent="0.25">
      <c r="A28" s="1">
        <v>45510</v>
      </c>
      <c r="B28">
        <v>5.85</v>
      </c>
      <c r="D28">
        <v>14.801041666666665</v>
      </c>
      <c r="E28">
        <v>21.86</v>
      </c>
    </row>
    <row r="29" spans="1:5" x14ac:dyDescent="0.25">
      <c r="A29" s="1">
        <v>45511</v>
      </c>
      <c r="B29">
        <v>5.94</v>
      </c>
      <c r="D29">
        <v>15.02875</v>
      </c>
      <c r="E29">
        <v>21.86</v>
      </c>
    </row>
    <row r="30" spans="1:5" x14ac:dyDescent="0.25">
      <c r="A30" s="1">
        <v>45512</v>
      </c>
      <c r="B30">
        <v>5.82</v>
      </c>
      <c r="D30">
        <v>14.725138888888889</v>
      </c>
      <c r="E30">
        <v>21.86</v>
      </c>
    </row>
    <row r="31" spans="1:5" x14ac:dyDescent="0.25">
      <c r="A31" s="1">
        <v>45513</v>
      </c>
      <c r="B31">
        <v>5.89</v>
      </c>
      <c r="D31">
        <v>14.90224537037037</v>
      </c>
      <c r="E31">
        <v>21.86</v>
      </c>
    </row>
    <row r="32" spans="1:5" x14ac:dyDescent="0.25">
      <c r="A32" s="1">
        <v>45516</v>
      </c>
      <c r="B32">
        <v>6.01</v>
      </c>
      <c r="D32">
        <v>15.205856481481479</v>
      </c>
      <c r="E32">
        <v>21.86</v>
      </c>
    </row>
    <row r="33" spans="1:5" x14ac:dyDescent="0.25">
      <c r="A33" s="1">
        <v>45517</v>
      </c>
      <c r="B33">
        <v>6.15</v>
      </c>
      <c r="D33">
        <v>15.560069444444444</v>
      </c>
      <c r="E33">
        <v>21.86</v>
      </c>
    </row>
    <row r="34" spans="1:5" x14ac:dyDescent="0.25">
      <c r="A34" s="1">
        <v>45518</v>
      </c>
      <c r="B34">
        <v>6.09</v>
      </c>
      <c r="D34">
        <v>15.408263888888888</v>
      </c>
      <c r="E34">
        <v>21.86</v>
      </c>
    </row>
    <row r="35" spans="1:5" x14ac:dyDescent="0.25">
      <c r="A35" s="1">
        <v>45519</v>
      </c>
      <c r="B35">
        <v>6.1</v>
      </c>
      <c r="D35">
        <v>15.433564814814813</v>
      </c>
      <c r="E35">
        <v>21.86</v>
      </c>
    </row>
    <row r="36" spans="1:5" x14ac:dyDescent="0.25">
      <c r="A36" s="1">
        <v>45520</v>
      </c>
      <c r="B36">
        <v>6.1</v>
      </c>
      <c r="D36">
        <v>15.433564814814813</v>
      </c>
      <c r="E36">
        <v>21.86</v>
      </c>
    </row>
    <row r="37" spans="1:5" x14ac:dyDescent="0.25">
      <c r="A37" s="1">
        <v>45523</v>
      </c>
      <c r="B37">
        <v>6.07</v>
      </c>
      <c r="D37">
        <v>15.357662037037038</v>
      </c>
      <c r="E37">
        <v>21.86</v>
      </c>
    </row>
    <row r="38" spans="1:5" x14ac:dyDescent="0.25">
      <c r="A38" s="1">
        <v>45524</v>
      </c>
      <c r="B38">
        <v>6.42</v>
      </c>
      <c r="D38">
        <v>16.243194444444445</v>
      </c>
      <c r="E38">
        <v>21.86</v>
      </c>
    </row>
    <row r="39" spans="1:5" x14ac:dyDescent="0.25">
      <c r="A39" s="1">
        <v>45525</v>
      </c>
      <c r="B39">
        <v>6.34</v>
      </c>
      <c r="D39">
        <v>16.040787037037035</v>
      </c>
      <c r="E39">
        <v>21.86</v>
      </c>
    </row>
    <row r="40" spans="1:5" x14ac:dyDescent="0.25">
      <c r="A40" s="1">
        <v>45526</v>
      </c>
      <c r="B40">
        <v>7.05</v>
      </c>
      <c r="D40">
        <v>17.837152777777778</v>
      </c>
      <c r="E40">
        <v>21.86</v>
      </c>
    </row>
    <row r="41" spans="1:5" x14ac:dyDescent="0.25">
      <c r="A41" s="1">
        <v>45527</v>
      </c>
      <c r="B41">
        <v>6.88</v>
      </c>
      <c r="D41">
        <v>17.407037037037036</v>
      </c>
      <c r="E41">
        <v>21.86</v>
      </c>
    </row>
    <row r="42" spans="1:5" x14ac:dyDescent="0.25">
      <c r="A42" s="1">
        <v>45530</v>
      </c>
      <c r="B42">
        <v>7</v>
      </c>
      <c r="D42">
        <v>17.710648148148149</v>
      </c>
      <c r="E42">
        <v>21.86</v>
      </c>
    </row>
    <row r="43" spans="1:5" x14ac:dyDescent="0.25">
      <c r="A43" s="1">
        <v>45531</v>
      </c>
      <c r="B43">
        <v>7</v>
      </c>
      <c r="D43">
        <v>17.710648148148149</v>
      </c>
      <c r="E43">
        <v>21.86</v>
      </c>
    </row>
    <row r="44" spans="1:5" x14ac:dyDescent="0.25">
      <c r="A44" s="1">
        <v>45532</v>
      </c>
      <c r="B44">
        <v>6.99</v>
      </c>
      <c r="D44">
        <v>17.685347222222223</v>
      </c>
      <c r="E44">
        <v>21.86</v>
      </c>
    </row>
    <row r="45" spans="1:5" x14ac:dyDescent="0.25">
      <c r="A45" s="1">
        <v>45533</v>
      </c>
      <c r="B45">
        <v>6.88</v>
      </c>
      <c r="D45">
        <v>17.407037037037036</v>
      </c>
      <c r="E45">
        <v>21.86</v>
      </c>
    </row>
    <row r="46" spans="1:5" x14ac:dyDescent="0.25">
      <c r="A46" s="1">
        <v>45534</v>
      </c>
      <c r="B46">
        <v>6.94</v>
      </c>
      <c r="D46">
        <v>17.558842592592594</v>
      </c>
      <c r="E46">
        <v>21.86</v>
      </c>
    </row>
    <row r="47" spans="1:5" x14ac:dyDescent="0.25">
      <c r="A47" s="1">
        <v>45537</v>
      </c>
      <c r="B47">
        <v>7</v>
      </c>
      <c r="D47">
        <v>17.710648148148149</v>
      </c>
      <c r="E47">
        <v>21.86</v>
      </c>
    </row>
    <row r="48" spans="1:5" x14ac:dyDescent="0.25">
      <c r="A48" s="1">
        <v>45538</v>
      </c>
      <c r="B48">
        <v>6.98</v>
      </c>
      <c r="D48">
        <v>17.660046296296297</v>
      </c>
      <c r="E48">
        <v>21.86</v>
      </c>
    </row>
    <row r="49" spans="1:5" x14ac:dyDescent="0.25">
      <c r="A49" s="1">
        <v>45539</v>
      </c>
      <c r="B49">
        <v>6.82</v>
      </c>
      <c r="D49">
        <v>17.255231481481481</v>
      </c>
      <c r="E49">
        <v>21.86</v>
      </c>
    </row>
    <row r="50" spans="1:5" x14ac:dyDescent="0.25">
      <c r="A50" s="1">
        <v>45540</v>
      </c>
      <c r="B50">
        <v>6.78</v>
      </c>
      <c r="D50">
        <v>17.154027777777777</v>
      </c>
      <c r="E50">
        <v>21.86</v>
      </c>
    </row>
    <row r="51" spans="1:5" x14ac:dyDescent="0.25">
      <c r="A51" s="1">
        <v>45541</v>
      </c>
      <c r="B51">
        <v>6.85</v>
      </c>
      <c r="D51">
        <v>17.331134259259258</v>
      </c>
      <c r="E51">
        <v>21.86</v>
      </c>
    </row>
    <row r="52" spans="1:5" x14ac:dyDescent="0.25">
      <c r="A52" s="1">
        <v>45544</v>
      </c>
      <c r="B52">
        <v>6.72</v>
      </c>
      <c r="D52">
        <v>17.002222222222223</v>
      </c>
      <c r="E52">
        <v>21.86</v>
      </c>
    </row>
    <row r="53" spans="1:5" x14ac:dyDescent="0.25">
      <c r="A53" s="1">
        <v>45545</v>
      </c>
      <c r="B53">
        <v>6.65</v>
      </c>
      <c r="D53">
        <v>16.825115740740742</v>
      </c>
      <c r="E53">
        <v>21.86</v>
      </c>
    </row>
    <row r="54" spans="1:5" x14ac:dyDescent="0.25">
      <c r="A54" s="1">
        <v>45546</v>
      </c>
      <c r="B54">
        <v>6.66</v>
      </c>
      <c r="D54">
        <v>16.850416666666668</v>
      </c>
      <c r="E54">
        <v>21.86</v>
      </c>
    </row>
    <row r="55" spans="1:5" x14ac:dyDescent="0.25">
      <c r="A55" s="1">
        <v>45547</v>
      </c>
      <c r="B55">
        <v>6.7</v>
      </c>
      <c r="D55">
        <v>16.951620370370371</v>
      </c>
      <c r="E55">
        <v>21.86</v>
      </c>
    </row>
    <row r="56" spans="1:5" x14ac:dyDescent="0.25">
      <c r="A56" s="1">
        <v>45548</v>
      </c>
      <c r="B56">
        <v>6.67</v>
      </c>
      <c r="D56">
        <v>16.87571759259259</v>
      </c>
      <c r="E56">
        <v>21.86</v>
      </c>
    </row>
    <row r="57" spans="1:5" x14ac:dyDescent="0.25">
      <c r="A57" s="1">
        <v>45551</v>
      </c>
      <c r="B57">
        <v>6.7</v>
      </c>
      <c r="D57">
        <v>16.951620370370371</v>
      </c>
      <c r="E57">
        <v>21.86</v>
      </c>
    </row>
    <row r="58" spans="1:5" x14ac:dyDescent="0.25">
      <c r="A58" s="1">
        <v>45552</v>
      </c>
      <c r="B58">
        <v>6.7</v>
      </c>
      <c r="D58">
        <v>16.951620370370371</v>
      </c>
      <c r="E58">
        <v>21.86</v>
      </c>
    </row>
    <row r="59" spans="1:5" x14ac:dyDescent="0.25">
      <c r="A59" s="1">
        <v>45553</v>
      </c>
      <c r="B59">
        <v>6.75</v>
      </c>
      <c r="D59">
        <v>17.078125</v>
      </c>
      <c r="E59">
        <v>21.86</v>
      </c>
    </row>
    <row r="60" spans="1:5" x14ac:dyDescent="0.25">
      <c r="A60" s="1">
        <v>45554</v>
      </c>
      <c r="B60">
        <v>6.76</v>
      </c>
      <c r="D60">
        <v>17.103425925925926</v>
      </c>
      <c r="E60">
        <v>21.86</v>
      </c>
    </row>
    <row r="61" spans="1:5" x14ac:dyDescent="0.25">
      <c r="A61" s="1">
        <v>45555</v>
      </c>
      <c r="B61">
        <v>6.91</v>
      </c>
      <c r="D61">
        <v>17.482939814814813</v>
      </c>
      <c r="E61">
        <v>21.86</v>
      </c>
    </row>
    <row r="62" spans="1:5" x14ac:dyDescent="0.25">
      <c r="A62" s="1">
        <v>45558</v>
      </c>
      <c r="B62">
        <v>7.04</v>
      </c>
      <c r="D62">
        <v>17.811851851851852</v>
      </c>
      <c r="E62">
        <v>21.86</v>
      </c>
    </row>
    <row r="63" spans="1:5" x14ac:dyDescent="0.25">
      <c r="A63" s="1">
        <v>45559</v>
      </c>
      <c r="B63">
        <v>7.08</v>
      </c>
      <c r="D63">
        <v>17.913055555555555</v>
      </c>
      <c r="E63">
        <v>21.86</v>
      </c>
    </row>
    <row r="64" spans="1:5" x14ac:dyDescent="0.25">
      <c r="A64" s="1">
        <v>45560</v>
      </c>
      <c r="B64">
        <v>7.09</v>
      </c>
      <c r="D64">
        <v>17.938356481481481</v>
      </c>
      <c r="E64">
        <v>21.86</v>
      </c>
    </row>
    <row r="65" spans="1:5" x14ac:dyDescent="0.25">
      <c r="A65" s="1">
        <v>45561</v>
      </c>
      <c r="B65">
        <v>7.3</v>
      </c>
      <c r="D65">
        <v>18.469675925925923</v>
      </c>
      <c r="E65">
        <v>21.86</v>
      </c>
    </row>
    <row r="66" spans="1:5" x14ac:dyDescent="0.25">
      <c r="A66" s="1">
        <v>45562</v>
      </c>
      <c r="B66">
        <v>7.31</v>
      </c>
      <c r="D66">
        <v>18.494976851851849</v>
      </c>
      <c r="E66">
        <v>21.86</v>
      </c>
    </row>
    <row r="67" spans="1:5" x14ac:dyDescent="0.25">
      <c r="A67" s="1">
        <v>45565</v>
      </c>
      <c r="B67">
        <v>7.5</v>
      </c>
      <c r="D67">
        <v>18.975694444444443</v>
      </c>
      <c r="E67">
        <v>21.86</v>
      </c>
    </row>
    <row r="68" spans="1:5" x14ac:dyDescent="0.25">
      <c r="A68" s="1">
        <v>45566</v>
      </c>
      <c r="B68">
        <v>7.64</v>
      </c>
      <c r="D68">
        <v>19.329907407407404</v>
      </c>
      <c r="E68">
        <v>21.86</v>
      </c>
    </row>
    <row r="69" spans="1:5" x14ac:dyDescent="0.25">
      <c r="A69" s="1">
        <v>45567</v>
      </c>
      <c r="B69">
        <v>7.7</v>
      </c>
      <c r="D69">
        <v>19.481712962962963</v>
      </c>
      <c r="E69">
        <v>21.86</v>
      </c>
    </row>
    <row r="70" spans="1:5" x14ac:dyDescent="0.25">
      <c r="A70" s="1">
        <v>45568</v>
      </c>
      <c r="B70">
        <v>7.75</v>
      </c>
      <c r="D70">
        <v>19.608217592592592</v>
      </c>
      <c r="E70">
        <v>21.86</v>
      </c>
    </row>
    <row r="71" spans="1:5" x14ac:dyDescent="0.25">
      <c r="A71" s="1">
        <v>45569</v>
      </c>
      <c r="B71">
        <v>7.6</v>
      </c>
      <c r="D71">
        <v>19.228703703703701</v>
      </c>
      <c r="E71">
        <v>21.86</v>
      </c>
    </row>
    <row r="72" spans="1:5" x14ac:dyDescent="0.25">
      <c r="A72" s="1">
        <v>45572</v>
      </c>
      <c r="B72">
        <v>7.7</v>
      </c>
      <c r="D72">
        <v>19.481712962962963</v>
      </c>
      <c r="E72">
        <v>21.86</v>
      </c>
    </row>
    <row r="73" spans="1:5" x14ac:dyDescent="0.25">
      <c r="A73" s="1">
        <v>45573</v>
      </c>
      <c r="B73">
        <v>7.65</v>
      </c>
      <c r="D73">
        <v>19.355208333333334</v>
      </c>
      <c r="E73">
        <v>21.86</v>
      </c>
    </row>
    <row r="74" spans="1:5" x14ac:dyDescent="0.25">
      <c r="A74" s="1">
        <v>45574</v>
      </c>
      <c r="B74">
        <v>7.75</v>
      </c>
      <c r="D74">
        <v>19.608217592592592</v>
      </c>
      <c r="E74">
        <v>21.86</v>
      </c>
    </row>
    <row r="75" spans="1:5" x14ac:dyDescent="0.25">
      <c r="A75" s="1">
        <v>45575</v>
      </c>
      <c r="B75">
        <v>7.7</v>
      </c>
      <c r="D75">
        <v>19.481712962962963</v>
      </c>
      <c r="E75">
        <v>21.86</v>
      </c>
    </row>
    <row r="76" spans="1:5" x14ac:dyDescent="0.25">
      <c r="A76" s="1">
        <v>45576</v>
      </c>
      <c r="B76">
        <v>7.71</v>
      </c>
      <c r="D76">
        <v>19.507013888888888</v>
      </c>
      <c r="E76">
        <v>21.86</v>
      </c>
    </row>
    <row r="77" spans="1:5" x14ac:dyDescent="0.25">
      <c r="A77" s="1">
        <v>45579</v>
      </c>
      <c r="B77">
        <v>7.62</v>
      </c>
      <c r="D77">
        <v>19.279305555555556</v>
      </c>
      <c r="E77">
        <v>21.86</v>
      </c>
    </row>
    <row r="78" spans="1:5" x14ac:dyDescent="0.25">
      <c r="A78" s="1">
        <v>45580</v>
      </c>
      <c r="B78">
        <v>8.0299999999999994</v>
      </c>
      <c r="D78">
        <v>20.316643518518514</v>
      </c>
      <c r="E78">
        <v>21.86</v>
      </c>
    </row>
    <row r="79" spans="1:5" x14ac:dyDescent="0.25">
      <c r="A79" s="1">
        <v>45581</v>
      </c>
      <c r="B79">
        <v>8.1199999999999992</v>
      </c>
      <c r="D79">
        <v>20.54435185185185</v>
      </c>
      <c r="E79">
        <v>21.86</v>
      </c>
    </row>
    <row r="80" spans="1:5" x14ac:dyDescent="0.25">
      <c r="A80" s="1">
        <v>45582</v>
      </c>
      <c r="B80">
        <v>8.09</v>
      </c>
      <c r="D80">
        <v>20.468449074074073</v>
      </c>
      <c r="E80">
        <v>21.86</v>
      </c>
    </row>
    <row r="81" spans="1:5" x14ac:dyDescent="0.25">
      <c r="A81" s="1">
        <v>45583</v>
      </c>
      <c r="B81">
        <v>8.16</v>
      </c>
      <c r="D81">
        <v>20.645555555555553</v>
      </c>
      <c r="E81">
        <v>21.86</v>
      </c>
    </row>
    <row r="82" spans="1:5" x14ac:dyDescent="0.25">
      <c r="A82" s="1">
        <v>45586</v>
      </c>
      <c r="B82">
        <v>8.25</v>
      </c>
      <c r="D82">
        <v>20.873263888888889</v>
      </c>
      <c r="E82">
        <v>21.86</v>
      </c>
    </row>
    <row r="83" spans="1:5" x14ac:dyDescent="0.25">
      <c r="A83" s="1">
        <v>45587</v>
      </c>
      <c r="B83">
        <v>8.25</v>
      </c>
      <c r="D83">
        <v>20.873263888888889</v>
      </c>
      <c r="E83">
        <v>21.86</v>
      </c>
    </row>
    <row r="84" spans="1:5" x14ac:dyDescent="0.25">
      <c r="A84" s="1">
        <v>45588</v>
      </c>
      <c r="B84">
        <v>8.2100000000000009</v>
      </c>
      <c r="D84">
        <v>20.772060185185186</v>
      </c>
      <c r="E84">
        <v>21.86</v>
      </c>
    </row>
    <row r="85" spans="1:5" x14ac:dyDescent="0.25">
      <c r="A85" s="1">
        <v>45589</v>
      </c>
      <c r="B85">
        <v>7.96</v>
      </c>
      <c r="D85">
        <v>20.139537037037037</v>
      </c>
      <c r="E85">
        <v>21.86</v>
      </c>
    </row>
    <row r="86" spans="1:5" x14ac:dyDescent="0.25">
      <c r="A86" s="1">
        <v>45590</v>
      </c>
      <c r="B86">
        <v>7.98</v>
      </c>
      <c r="D86">
        <v>20.190138888888889</v>
      </c>
      <c r="E86">
        <v>21.86</v>
      </c>
    </row>
    <row r="87" spans="1:5" x14ac:dyDescent="0.25">
      <c r="A87" s="1">
        <v>45593</v>
      </c>
      <c r="B87">
        <v>8.19</v>
      </c>
      <c r="D87">
        <v>20.721458333333331</v>
      </c>
      <c r="E87">
        <v>21.86</v>
      </c>
    </row>
    <row r="88" spans="1:5" x14ac:dyDescent="0.25">
      <c r="A88" s="1">
        <v>45594</v>
      </c>
      <c r="B88">
        <v>8.33</v>
      </c>
      <c r="D88">
        <v>21.075671296296296</v>
      </c>
      <c r="E88">
        <v>21.86</v>
      </c>
    </row>
    <row r="89" spans="1:5" x14ac:dyDescent="0.25">
      <c r="A89" s="1">
        <v>45595</v>
      </c>
      <c r="B89">
        <v>7.99</v>
      </c>
      <c r="D89">
        <v>20.215439814814815</v>
      </c>
      <c r="E89">
        <v>21.86</v>
      </c>
    </row>
    <row r="90" spans="1:5" x14ac:dyDescent="0.25">
      <c r="A90" s="1">
        <v>45596</v>
      </c>
      <c r="B90">
        <v>7.88</v>
      </c>
      <c r="D90">
        <v>19.937129629629627</v>
      </c>
      <c r="E90">
        <v>21.86</v>
      </c>
    </row>
    <row r="91" spans="1:5" x14ac:dyDescent="0.25">
      <c r="A91" s="1">
        <v>45597</v>
      </c>
      <c r="B91">
        <v>7.8</v>
      </c>
      <c r="D91">
        <v>19.734722222222221</v>
      </c>
      <c r="E91">
        <v>21.86</v>
      </c>
    </row>
    <row r="92" spans="1:5" x14ac:dyDescent="0.25">
      <c r="A92" s="1">
        <v>45600</v>
      </c>
      <c r="B92">
        <v>7.65</v>
      </c>
      <c r="D92">
        <v>19.355208333333334</v>
      </c>
      <c r="E92">
        <v>21.86</v>
      </c>
    </row>
    <row r="93" spans="1:5" x14ac:dyDescent="0.25">
      <c r="A93" s="1">
        <v>45601</v>
      </c>
      <c r="B93">
        <v>7.64</v>
      </c>
      <c r="D93">
        <v>19.329907407407404</v>
      </c>
      <c r="E93">
        <v>21.86</v>
      </c>
    </row>
    <row r="94" spans="1:5" x14ac:dyDescent="0.25">
      <c r="A94" s="1">
        <v>45602</v>
      </c>
      <c r="B94">
        <v>7.68</v>
      </c>
      <c r="D94">
        <v>19.431111111111111</v>
      </c>
      <c r="E94">
        <v>21.86</v>
      </c>
    </row>
    <row r="95" spans="1:5" x14ac:dyDescent="0.25">
      <c r="A95" s="1">
        <v>45603</v>
      </c>
      <c r="B95">
        <v>7.61</v>
      </c>
      <c r="D95">
        <v>19.25400462962963</v>
      </c>
      <c r="E95">
        <v>21.86</v>
      </c>
    </row>
    <row r="96" spans="1:5" x14ac:dyDescent="0.25">
      <c r="A96" s="1">
        <v>45604</v>
      </c>
      <c r="B96">
        <v>7.73</v>
      </c>
      <c r="D96">
        <v>19.55761574074074</v>
      </c>
      <c r="E96">
        <v>21.86</v>
      </c>
    </row>
    <row r="97" spans="1:5" x14ac:dyDescent="0.25">
      <c r="A97" s="1">
        <v>45607</v>
      </c>
      <c r="B97">
        <v>7.73</v>
      </c>
      <c r="D97">
        <v>19.55761574074074</v>
      </c>
      <c r="E97">
        <v>21.86</v>
      </c>
    </row>
    <row r="98" spans="1:5" x14ac:dyDescent="0.25">
      <c r="A98" s="1">
        <v>45608</v>
      </c>
      <c r="B98">
        <v>7.83</v>
      </c>
      <c r="D98">
        <v>19.810624999999998</v>
      </c>
      <c r="E98">
        <v>21.86</v>
      </c>
    </row>
    <row r="99" spans="1:5" x14ac:dyDescent="0.25">
      <c r="A99" s="1">
        <v>45609</v>
      </c>
      <c r="B99">
        <v>7.78</v>
      </c>
      <c r="D99">
        <v>19.684120370370369</v>
      </c>
      <c r="E99">
        <v>21.86</v>
      </c>
    </row>
    <row r="100" spans="1:5" x14ac:dyDescent="0.25">
      <c r="A100" s="1">
        <v>45610</v>
      </c>
      <c r="B100">
        <v>7.75</v>
      </c>
      <c r="D100">
        <v>19.608217592592592</v>
      </c>
      <c r="E100">
        <v>21.86</v>
      </c>
    </row>
    <row r="101" spans="1:5" x14ac:dyDescent="0.25">
      <c r="A101" s="1">
        <v>45611</v>
      </c>
      <c r="B101">
        <v>7.92</v>
      </c>
      <c r="D101">
        <v>20.038333333333334</v>
      </c>
      <c r="E101">
        <v>21.86</v>
      </c>
    </row>
    <row r="102" spans="1:5" x14ac:dyDescent="0.25">
      <c r="A102" s="1">
        <v>45614</v>
      </c>
      <c r="B102">
        <v>7.91</v>
      </c>
      <c r="D102">
        <v>20.013032407407408</v>
      </c>
      <c r="E102">
        <v>21.86</v>
      </c>
    </row>
    <row r="103" spans="1:5" x14ac:dyDescent="0.25">
      <c r="A103" s="1">
        <v>45615</v>
      </c>
      <c r="B103">
        <v>8.01</v>
      </c>
      <c r="D103">
        <v>20.266041666666666</v>
      </c>
      <c r="E103">
        <v>21.86</v>
      </c>
    </row>
    <row r="104" spans="1:5" x14ac:dyDescent="0.25">
      <c r="A104" s="1">
        <v>45616</v>
      </c>
      <c r="B104">
        <v>7.77</v>
      </c>
      <c r="D104">
        <v>19.658819444444443</v>
      </c>
      <c r="E104">
        <v>21.86</v>
      </c>
    </row>
    <row r="105" spans="1:5" x14ac:dyDescent="0.25">
      <c r="A105" s="1">
        <v>45617</v>
      </c>
      <c r="B105">
        <v>7.46</v>
      </c>
      <c r="D105">
        <v>18.87449074074074</v>
      </c>
      <c r="E105">
        <v>21.86</v>
      </c>
    </row>
    <row r="106" spans="1:5" x14ac:dyDescent="0.25">
      <c r="A106" s="1">
        <v>45618</v>
      </c>
      <c r="B106">
        <v>7.44</v>
      </c>
      <c r="D106">
        <v>18.823888888888888</v>
      </c>
      <c r="E106">
        <v>21.86</v>
      </c>
    </row>
    <row r="107" spans="1:5" x14ac:dyDescent="0.25">
      <c r="A107" s="1">
        <v>45621</v>
      </c>
      <c r="B107">
        <v>7.46</v>
      </c>
      <c r="D107">
        <v>18.87449074074074</v>
      </c>
      <c r="E107">
        <v>21.86</v>
      </c>
    </row>
    <row r="108" spans="1:5" x14ac:dyDescent="0.25">
      <c r="A108" s="1">
        <v>45622</v>
      </c>
      <c r="B108">
        <v>7.66</v>
      </c>
      <c r="D108">
        <v>19.380509259259259</v>
      </c>
      <c r="E108">
        <v>21.86</v>
      </c>
    </row>
    <row r="109" spans="1:5" x14ac:dyDescent="0.25">
      <c r="A109" s="1">
        <v>45623</v>
      </c>
      <c r="B109">
        <v>7.66</v>
      </c>
      <c r="D109">
        <v>19.380509259259259</v>
      </c>
      <c r="E109">
        <v>21.86</v>
      </c>
    </row>
    <row r="110" spans="1:5" x14ac:dyDescent="0.25">
      <c r="A110" s="1">
        <v>45624</v>
      </c>
      <c r="B110">
        <v>7.55</v>
      </c>
      <c r="D110">
        <v>19.102199074074072</v>
      </c>
      <c r="E110">
        <v>21.86</v>
      </c>
    </row>
    <row r="111" spans="1:5" x14ac:dyDescent="0.25">
      <c r="A111" s="1">
        <v>45625</v>
      </c>
      <c r="B111">
        <v>7.8</v>
      </c>
      <c r="D111">
        <v>19.734722222222221</v>
      </c>
      <c r="E111">
        <v>21.86</v>
      </c>
    </row>
    <row r="112" spans="1:5" x14ac:dyDescent="0.25">
      <c r="A112" s="1">
        <v>45628</v>
      </c>
      <c r="B112">
        <v>7.66</v>
      </c>
      <c r="D112">
        <v>19.380509259259259</v>
      </c>
      <c r="E112">
        <v>21.86</v>
      </c>
    </row>
    <row r="113" spans="1:5" x14ac:dyDescent="0.25">
      <c r="A113" s="1">
        <v>45629</v>
      </c>
      <c r="B113">
        <v>7.9</v>
      </c>
      <c r="D113">
        <v>19.987731481481482</v>
      </c>
      <c r="E113">
        <v>21.86</v>
      </c>
    </row>
    <row r="114" spans="1:5" x14ac:dyDescent="0.25">
      <c r="A114" s="1">
        <v>45630</v>
      </c>
      <c r="B114">
        <v>8.08</v>
      </c>
      <c r="D114">
        <v>20.443148148148147</v>
      </c>
      <c r="E114">
        <v>21.86</v>
      </c>
    </row>
    <row r="115" spans="1:5" x14ac:dyDescent="0.25">
      <c r="A115" s="1">
        <v>45631</v>
      </c>
      <c r="B115">
        <v>8.14</v>
      </c>
      <c r="D115">
        <v>20.594953703703705</v>
      </c>
      <c r="E115">
        <v>21.86</v>
      </c>
    </row>
    <row r="116" spans="1:5" x14ac:dyDescent="0.25">
      <c r="A116" s="1">
        <v>45632</v>
      </c>
      <c r="B116">
        <v>8.06</v>
      </c>
      <c r="D116">
        <v>20.392546296296295</v>
      </c>
      <c r="E116">
        <v>21.86</v>
      </c>
    </row>
    <row r="117" spans="1:5" x14ac:dyDescent="0.25">
      <c r="A117" s="1">
        <v>45635</v>
      </c>
      <c r="B117">
        <v>8</v>
      </c>
      <c r="D117">
        <v>20.24074074074074</v>
      </c>
      <c r="E117">
        <v>21.86</v>
      </c>
    </row>
    <row r="118" spans="1:5" x14ac:dyDescent="0.25">
      <c r="A118" s="1">
        <v>45636</v>
      </c>
      <c r="B118">
        <v>7.82</v>
      </c>
      <c r="D118">
        <v>19.785324074074072</v>
      </c>
      <c r="E118">
        <v>21.86</v>
      </c>
    </row>
    <row r="119" spans="1:5" x14ac:dyDescent="0.25">
      <c r="A119" s="1">
        <v>45637</v>
      </c>
      <c r="B119">
        <v>7.74</v>
      </c>
      <c r="D119">
        <v>19.582916666666666</v>
      </c>
      <c r="E119">
        <v>21.86</v>
      </c>
    </row>
    <row r="120" spans="1:5" x14ac:dyDescent="0.25">
      <c r="A120" s="1">
        <v>45638</v>
      </c>
      <c r="B120">
        <v>7.79</v>
      </c>
      <c r="D120">
        <v>19.709421296296295</v>
      </c>
      <c r="E120">
        <v>21.86</v>
      </c>
    </row>
    <row r="121" spans="1:5" x14ac:dyDescent="0.25">
      <c r="A121" s="1">
        <v>45639</v>
      </c>
      <c r="B121">
        <v>7.73</v>
      </c>
      <c r="D121">
        <v>19.55761574074074</v>
      </c>
      <c r="E121">
        <v>21.86</v>
      </c>
    </row>
    <row r="122" spans="1:5" x14ac:dyDescent="0.25">
      <c r="A122" s="1">
        <v>45642</v>
      </c>
      <c r="B122">
        <v>7.78</v>
      </c>
      <c r="D122">
        <v>19.684120370370369</v>
      </c>
      <c r="E122">
        <v>21.86</v>
      </c>
    </row>
    <row r="123" spans="1:5" x14ac:dyDescent="0.25">
      <c r="A123" s="1">
        <v>45643</v>
      </c>
      <c r="B123">
        <v>8.02</v>
      </c>
      <c r="D123">
        <v>20.291342592592592</v>
      </c>
      <c r="E123">
        <v>21.86</v>
      </c>
    </row>
    <row r="124" spans="1:5" x14ac:dyDescent="0.25">
      <c r="A124" s="1">
        <v>45644</v>
      </c>
      <c r="B124">
        <v>8.0399999999999991</v>
      </c>
      <c r="D124">
        <v>20.34194444444444</v>
      </c>
      <c r="E124">
        <v>21.86</v>
      </c>
    </row>
    <row r="125" spans="1:5" x14ac:dyDescent="0.25">
      <c r="A125" s="1">
        <v>45645</v>
      </c>
      <c r="B125">
        <v>7.94</v>
      </c>
      <c r="D125">
        <v>20.088935185185186</v>
      </c>
      <c r="E125">
        <v>21.86</v>
      </c>
    </row>
    <row r="126" spans="1:5" x14ac:dyDescent="0.25">
      <c r="A126" s="1">
        <v>45646</v>
      </c>
      <c r="B126">
        <v>7.97</v>
      </c>
      <c r="D126">
        <v>20.164837962962963</v>
      </c>
      <c r="E126">
        <v>21.86</v>
      </c>
    </row>
    <row r="127" spans="1:5" x14ac:dyDescent="0.25">
      <c r="A127" s="1">
        <v>45649</v>
      </c>
      <c r="B127">
        <v>8.02</v>
      </c>
      <c r="D127">
        <v>20.291342592592592</v>
      </c>
      <c r="E127">
        <v>21.86</v>
      </c>
    </row>
    <row r="128" spans="1:5" x14ac:dyDescent="0.25">
      <c r="A128" s="1">
        <v>45650</v>
      </c>
      <c r="B128">
        <v>8.14</v>
      </c>
      <c r="D128">
        <v>20.594953703703705</v>
      </c>
      <c r="E128">
        <v>21.86</v>
      </c>
    </row>
    <row r="129" spans="1:5" x14ac:dyDescent="0.25">
      <c r="A129" s="1">
        <v>45653</v>
      </c>
      <c r="B129">
        <v>8.39</v>
      </c>
      <c r="D129">
        <v>21.227476851851851</v>
      </c>
      <c r="E129">
        <v>21.86</v>
      </c>
    </row>
    <row r="130" spans="1:5" x14ac:dyDescent="0.25">
      <c r="A130" s="1">
        <v>45656</v>
      </c>
      <c r="B130">
        <v>8.31</v>
      </c>
      <c r="D130">
        <v>21.025069444444444</v>
      </c>
      <c r="E130">
        <v>21.86</v>
      </c>
    </row>
    <row r="131" spans="1:5" x14ac:dyDescent="0.25">
      <c r="A131" s="1">
        <v>45657</v>
      </c>
      <c r="B131">
        <v>8.58</v>
      </c>
      <c r="D131">
        <v>21.708194444444445</v>
      </c>
      <c r="E131">
        <v>21.86</v>
      </c>
    </row>
    <row r="132" spans="1:5" x14ac:dyDescent="0.25">
      <c r="A132" s="1">
        <v>45659</v>
      </c>
      <c r="B132">
        <v>8.1</v>
      </c>
      <c r="D132">
        <v>20.493749999999999</v>
      </c>
      <c r="E132">
        <v>21.86</v>
      </c>
    </row>
    <row r="133" spans="1:5" x14ac:dyDescent="0.25">
      <c r="A133" s="1">
        <v>45660</v>
      </c>
      <c r="B133">
        <v>8.18</v>
      </c>
      <c r="D133">
        <v>20.696157407407405</v>
      </c>
      <c r="E133">
        <v>21.86</v>
      </c>
    </row>
    <row r="134" spans="1:5" x14ac:dyDescent="0.25">
      <c r="A134" s="1">
        <v>45663</v>
      </c>
      <c r="B134">
        <v>8.25</v>
      </c>
      <c r="D134">
        <v>20.873263888888889</v>
      </c>
      <c r="E134">
        <v>21.86</v>
      </c>
    </row>
    <row r="135" spans="1:5" x14ac:dyDescent="0.25">
      <c r="A135" s="1">
        <v>45664</v>
      </c>
      <c r="B135">
        <v>8.44</v>
      </c>
      <c r="D135">
        <v>21.35398148148148</v>
      </c>
      <c r="E135">
        <v>21.86</v>
      </c>
    </row>
    <row r="136" spans="1:5" x14ac:dyDescent="0.25">
      <c r="A136" s="1">
        <v>45665</v>
      </c>
      <c r="B136">
        <v>8.3800000000000008</v>
      </c>
      <c r="D136">
        <v>21.202175925925928</v>
      </c>
      <c r="E136">
        <v>21.86</v>
      </c>
    </row>
    <row r="137" spans="1:5" x14ac:dyDescent="0.25">
      <c r="A137" s="1">
        <v>45666</v>
      </c>
      <c r="B137">
        <v>8.43</v>
      </c>
      <c r="D137">
        <v>21.328680555555554</v>
      </c>
      <c r="E137">
        <v>21.86</v>
      </c>
    </row>
    <row r="138" spans="1:5" x14ac:dyDescent="0.25">
      <c r="A138" s="1">
        <v>45667</v>
      </c>
      <c r="B138">
        <v>8.4</v>
      </c>
      <c r="D138">
        <v>21.252777777777776</v>
      </c>
      <c r="E138">
        <v>21.86</v>
      </c>
    </row>
    <row r="139" spans="1:5" x14ac:dyDescent="0.25">
      <c r="A139" s="1">
        <v>45670</v>
      </c>
      <c r="B139">
        <v>8.11</v>
      </c>
      <c r="D139">
        <v>20.519050925925924</v>
      </c>
      <c r="E139">
        <v>21.86</v>
      </c>
    </row>
    <row r="140" spans="1:5" x14ac:dyDescent="0.25">
      <c r="A140" s="1">
        <v>45671</v>
      </c>
      <c r="B140">
        <v>8.0299999999999994</v>
      </c>
      <c r="D140">
        <v>20.316643518518514</v>
      </c>
      <c r="E140">
        <v>21.86</v>
      </c>
    </row>
    <row r="141" spans="1:5" x14ac:dyDescent="0.25">
      <c r="A141" s="1">
        <v>45672</v>
      </c>
      <c r="B141">
        <v>7.8</v>
      </c>
      <c r="D141">
        <v>19.734722222222221</v>
      </c>
      <c r="E141">
        <v>21.86</v>
      </c>
    </row>
    <row r="142" spans="1:5" x14ac:dyDescent="0.25">
      <c r="A142" s="1">
        <v>45673</v>
      </c>
      <c r="B142">
        <v>7.76</v>
      </c>
      <c r="D142">
        <v>19.633518518518517</v>
      </c>
      <c r="E142">
        <v>21.86</v>
      </c>
    </row>
    <row r="143" spans="1:5" x14ac:dyDescent="0.25">
      <c r="A143" s="1">
        <v>45674</v>
      </c>
      <c r="B143">
        <v>7.72</v>
      </c>
      <c r="D143">
        <v>19.532314814814814</v>
      </c>
      <c r="E143">
        <v>21.86</v>
      </c>
    </row>
    <row r="144" spans="1:5" x14ac:dyDescent="0.25">
      <c r="A144" s="1">
        <v>45677</v>
      </c>
      <c r="B144">
        <v>7.91</v>
      </c>
      <c r="D144">
        <v>20.013032407407408</v>
      </c>
      <c r="E144">
        <v>21.86</v>
      </c>
    </row>
    <row r="145" spans="1:5" x14ac:dyDescent="0.25">
      <c r="A145" s="1">
        <v>45678</v>
      </c>
      <c r="B145">
        <v>8.1</v>
      </c>
      <c r="D145">
        <v>20.493749999999999</v>
      </c>
      <c r="E145">
        <v>21.86</v>
      </c>
    </row>
    <row r="146" spans="1:5" x14ac:dyDescent="0.25">
      <c r="A146" s="1">
        <v>45679</v>
      </c>
      <c r="B146">
        <v>8.27</v>
      </c>
      <c r="D146">
        <v>20.923865740740737</v>
      </c>
      <c r="E146">
        <v>21.86</v>
      </c>
    </row>
    <row r="147" spans="1:5" x14ac:dyDescent="0.25">
      <c r="A147" s="1">
        <v>45680</v>
      </c>
      <c r="B147">
        <v>8.1</v>
      </c>
      <c r="D147">
        <v>20.493749999999999</v>
      </c>
      <c r="E147">
        <v>21.86</v>
      </c>
    </row>
    <row r="148" spans="1:5" x14ac:dyDescent="0.25">
      <c r="A148" s="1">
        <v>45681</v>
      </c>
      <c r="B148">
        <v>8.4</v>
      </c>
      <c r="D148">
        <v>21.252777777777776</v>
      </c>
      <c r="E148">
        <v>21.86</v>
      </c>
    </row>
    <row r="149" spans="1:5" x14ac:dyDescent="0.25">
      <c r="A149" s="1">
        <v>45685</v>
      </c>
      <c r="B149">
        <v>8.39</v>
      </c>
      <c r="D149">
        <v>21.227476851851851</v>
      </c>
      <c r="E149">
        <v>21.86</v>
      </c>
    </row>
    <row r="150" spans="1:5" x14ac:dyDescent="0.25">
      <c r="A150" s="1">
        <v>45686</v>
      </c>
      <c r="B150">
        <v>8.4499999999999993</v>
      </c>
      <c r="D150">
        <v>21.379282407407405</v>
      </c>
      <c r="E150">
        <v>21.86</v>
      </c>
    </row>
    <row r="151" spans="1:5" x14ac:dyDescent="0.25">
      <c r="A151" s="1">
        <v>45687</v>
      </c>
      <c r="B151">
        <v>8.4</v>
      </c>
      <c r="D151">
        <v>21.252777777777776</v>
      </c>
      <c r="E151">
        <v>21.86</v>
      </c>
    </row>
    <row r="152" spans="1:5" x14ac:dyDescent="0.25">
      <c r="A152" s="1">
        <v>45688</v>
      </c>
      <c r="B152">
        <v>8.52</v>
      </c>
      <c r="D152">
        <v>21.556388888888886</v>
      </c>
      <c r="E152">
        <v>21.86</v>
      </c>
    </row>
    <row r="153" spans="1:5" x14ac:dyDescent="0.25">
      <c r="A153" s="1">
        <v>45691</v>
      </c>
      <c r="B153">
        <v>8.17</v>
      </c>
      <c r="D153">
        <v>20.670856481481479</v>
      </c>
      <c r="E153">
        <v>21.86</v>
      </c>
    </row>
    <row r="154" spans="1:5" x14ac:dyDescent="0.25">
      <c r="A154" s="1">
        <v>45692</v>
      </c>
      <c r="B154">
        <v>8.11</v>
      </c>
      <c r="D154">
        <v>20.519050925925924</v>
      </c>
      <c r="E154">
        <v>21.86</v>
      </c>
    </row>
    <row r="155" spans="1:5" x14ac:dyDescent="0.25">
      <c r="A155" s="1">
        <v>45693</v>
      </c>
      <c r="B155">
        <v>8.09</v>
      </c>
      <c r="D155">
        <v>20.468449074074073</v>
      </c>
      <c r="E155">
        <v>21.86</v>
      </c>
    </row>
    <row r="156" spans="1:5" x14ac:dyDescent="0.25">
      <c r="A156" s="1">
        <v>45694</v>
      </c>
      <c r="B156">
        <v>8.3000000000000007</v>
      </c>
      <c r="D156">
        <v>20.999768518518518</v>
      </c>
      <c r="E156">
        <v>21.86</v>
      </c>
    </row>
    <row r="157" spans="1:5" x14ac:dyDescent="0.25">
      <c r="A157" s="1">
        <v>45695</v>
      </c>
      <c r="B157">
        <v>8.4700000000000006</v>
      </c>
      <c r="D157">
        <v>21.429884259259261</v>
      </c>
      <c r="E157">
        <v>21.86</v>
      </c>
    </row>
    <row r="158" spans="1:5" x14ac:dyDescent="0.25">
      <c r="A158" s="1">
        <v>45698</v>
      </c>
      <c r="B158">
        <v>8.19</v>
      </c>
      <c r="D158">
        <v>20.721458333333331</v>
      </c>
      <c r="E158">
        <v>21.86</v>
      </c>
    </row>
    <row r="159" spans="1:5" x14ac:dyDescent="0.25">
      <c r="A159" s="1">
        <v>45699</v>
      </c>
      <c r="B159">
        <v>8.19</v>
      </c>
      <c r="D159">
        <v>20.721458333333331</v>
      </c>
      <c r="E159">
        <v>21.86</v>
      </c>
    </row>
    <row r="160" spans="1:5" x14ac:dyDescent="0.25">
      <c r="A160" s="1">
        <v>45700</v>
      </c>
      <c r="B160">
        <v>8.16</v>
      </c>
      <c r="D160">
        <v>20.645555555555553</v>
      </c>
      <c r="E160">
        <v>21.86</v>
      </c>
    </row>
    <row r="161" spans="1:5" x14ac:dyDescent="0.25">
      <c r="A161" s="1">
        <v>45701</v>
      </c>
      <c r="B161">
        <v>8.16</v>
      </c>
      <c r="D161">
        <v>20.645555555555553</v>
      </c>
      <c r="E161">
        <v>21.86</v>
      </c>
    </row>
    <row r="162" spans="1:5" x14ac:dyDescent="0.25">
      <c r="A162" s="1">
        <v>45702</v>
      </c>
      <c r="B162">
        <v>8.3000000000000007</v>
      </c>
      <c r="D162">
        <v>20.999768518518518</v>
      </c>
      <c r="E162">
        <v>21.86</v>
      </c>
    </row>
    <row r="163" spans="1:5" x14ac:dyDescent="0.25">
      <c r="A163" s="1">
        <v>45705</v>
      </c>
      <c r="B163">
        <v>8.4</v>
      </c>
      <c r="D163">
        <v>21.252777777777776</v>
      </c>
      <c r="E163">
        <v>21.86</v>
      </c>
    </row>
    <row r="164" spans="1:5" x14ac:dyDescent="0.25">
      <c r="A164" s="1">
        <v>45706</v>
      </c>
      <c r="B164">
        <v>8.43</v>
      </c>
      <c r="D164">
        <v>21.328680555555554</v>
      </c>
      <c r="E164">
        <v>21.86</v>
      </c>
    </row>
    <row r="165" spans="1:5" x14ac:dyDescent="0.25">
      <c r="A165" s="1">
        <v>45707</v>
      </c>
      <c r="B165">
        <v>8.48</v>
      </c>
      <c r="D165">
        <v>21.455185185185186</v>
      </c>
      <c r="E165">
        <v>21.86</v>
      </c>
    </row>
    <row r="166" spans="1:5" x14ac:dyDescent="0.25">
      <c r="A166" s="1">
        <v>45708</v>
      </c>
      <c r="B166">
        <v>9.3000000000000007</v>
      </c>
      <c r="D166">
        <v>23.529861111111114</v>
      </c>
      <c r="E166">
        <v>21.86</v>
      </c>
    </row>
    <row r="167" spans="1:5" x14ac:dyDescent="0.25">
      <c r="A167" s="1">
        <v>45709</v>
      </c>
      <c r="B167">
        <v>9.17</v>
      </c>
      <c r="D167">
        <v>23.200949074074074</v>
      </c>
      <c r="E167">
        <v>21.86</v>
      </c>
    </row>
    <row r="168" spans="1:5" x14ac:dyDescent="0.25">
      <c r="A168" s="1">
        <v>45712</v>
      </c>
      <c r="B168">
        <v>8.85</v>
      </c>
      <c r="D168">
        <v>22.391319444444441</v>
      </c>
      <c r="E168">
        <v>21.86</v>
      </c>
    </row>
    <row r="169" spans="1:5" x14ac:dyDescent="0.25">
      <c r="A169" s="1">
        <v>45713</v>
      </c>
      <c r="B169">
        <v>8.69</v>
      </c>
      <c r="D169">
        <v>21.986504629629628</v>
      </c>
      <c r="E169">
        <v>21.86</v>
      </c>
    </row>
    <row r="170" spans="1:5" x14ac:dyDescent="0.25">
      <c r="A170" s="1">
        <v>45714</v>
      </c>
      <c r="B170">
        <v>8.86</v>
      </c>
      <c r="D170">
        <v>22.416620370370367</v>
      </c>
      <c r="E170">
        <v>21.86</v>
      </c>
    </row>
    <row r="171" spans="1:5" x14ac:dyDescent="0.25">
      <c r="A171" s="1">
        <v>45715</v>
      </c>
      <c r="B171">
        <v>8.94</v>
      </c>
      <c r="D171">
        <v>22.619027777777777</v>
      </c>
      <c r="E171">
        <v>21.86</v>
      </c>
    </row>
    <row r="172" spans="1:5" x14ac:dyDescent="0.25">
      <c r="A172" s="1">
        <v>45716</v>
      </c>
      <c r="B172">
        <v>8.6999999999999993</v>
      </c>
      <c r="D172">
        <v>22.011805555555554</v>
      </c>
      <c r="E172">
        <v>21.86</v>
      </c>
    </row>
    <row r="173" spans="1:5" x14ac:dyDescent="0.25">
      <c r="A173" s="1">
        <v>45719</v>
      </c>
      <c r="B173">
        <v>8.4499999999999993</v>
      </c>
      <c r="D173">
        <v>21.379282407407405</v>
      </c>
      <c r="E173">
        <v>21.86</v>
      </c>
    </row>
    <row r="174" spans="1:5" x14ac:dyDescent="0.25">
      <c r="A174" s="1">
        <v>45720</v>
      </c>
      <c r="B174">
        <v>8.36</v>
      </c>
      <c r="D174">
        <v>21.151574074074073</v>
      </c>
      <c r="E174">
        <v>21.86</v>
      </c>
    </row>
    <row r="175" spans="1:5" x14ac:dyDescent="0.25">
      <c r="A175" s="1">
        <v>45721</v>
      </c>
      <c r="B175">
        <v>8.4</v>
      </c>
      <c r="D175">
        <v>21.252777777777776</v>
      </c>
      <c r="E175">
        <v>21.86</v>
      </c>
    </row>
    <row r="176" spans="1:5" x14ac:dyDescent="0.25">
      <c r="A176" s="1">
        <v>45722</v>
      </c>
      <c r="B176">
        <v>8.14</v>
      </c>
      <c r="D176">
        <v>20.594953703703705</v>
      </c>
      <c r="E176">
        <v>21.86</v>
      </c>
    </row>
    <row r="177" spans="1:5" x14ac:dyDescent="0.25">
      <c r="A177" s="1">
        <v>45723</v>
      </c>
      <c r="B177">
        <v>7.93</v>
      </c>
      <c r="D177">
        <v>20.063634259259256</v>
      </c>
      <c r="E177">
        <v>21.86</v>
      </c>
    </row>
    <row r="178" spans="1:5" x14ac:dyDescent="0.25">
      <c r="A178" s="1">
        <v>45726</v>
      </c>
      <c r="B178">
        <v>8.02</v>
      </c>
      <c r="D178">
        <v>20.291342592592592</v>
      </c>
      <c r="E178">
        <v>21.86</v>
      </c>
    </row>
    <row r="179" spans="1:5" x14ac:dyDescent="0.25">
      <c r="A179" s="1">
        <v>45727</v>
      </c>
      <c r="B179">
        <v>7.55</v>
      </c>
      <c r="D179">
        <v>19.102199074074072</v>
      </c>
      <c r="E179">
        <v>21.86</v>
      </c>
    </row>
    <row r="180" spans="1:5" x14ac:dyDescent="0.25">
      <c r="A180" s="1">
        <v>45728</v>
      </c>
      <c r="B180">
        <v>7.42</v>
      </c>
      <c r="D180">
        <v>18.773287037037036</v>
      </c>
      <c r="E180">
        <v>21.86</v>
      </c>
    </row>
    <row r="181" spans="1:5" x14ac:dyDescent="0.25">
      <c r="A181" s="1">
        <v>45729</v>
      </c>
      <c r="B181">
        <v>7.4</v>
      </c>
      <c r="D181">
        <v>18.722685185185185</v>
      </c>
      <c r="E181">
        <v>21.86</v>
      </c>
    </row>
    <row r="182" spans="1:5" x14ac:dyDescent="0.25">
      <c r="A182" s="1">
        <v>45730</v>
      </c>
      <c r="B182">
        <v>7.4</v>
      </c>
      <c r="D182">
        <v>18.722685185185185</v>
      </c>
      <c r="E182">
        <v>21.86</v>
      </c>
    </row>
    <row r="183" spans="1:5" x14ac:dyDescent="0.25">
      <c r="A183" s="1">
        <v>45733</v>
      </c>
      <c r="B183">
        <v>7.65</v>
      </c>
      <c r="D183">
        <v>19.355208333333334</v>
      </c>
      <c r="E183">
        <v>21.86</v>
      </c>
    </row>
    <row r="184" spans="1:5" x14ac:dyDescent="0.25">
      <c r="A184" s="1">
        <v>45734</v>
      </c>
      <c r="B184">
        <v>7.9</v>
      </c>
      <c r="D184">
        <v>19.987731481481482</v>
      </c>
      <c r="E184">
        <v>21.86</v>
      </c>
    </row>
    <row r="185" spans="1:5" x14ac:dyDescent="0.25">
      <c r="A185" s="1">
        <v>45735</v>
      </c>
      <c r="B185">
        <v>7.49</v>
      </c>
      <c r="D185">
        <v>18.950393518518517</v>
      </c>
      <c r="E185">
        <v>21.86</v>
      </c>
    </row>
    <row r="186" spans="1:5" x14ac:dyDescent="0.25">
      <c r="A186" s="1">
        <v>45736</v>
      </c>
      <c r="B186">
        <v>7.5</v>
      </c>
      <c r="D186">
        <v>18.975694444444443</v>
      </c>
      <c r="E186">
        <v>21.86</v>
      </c>
    </row>
    <row r="187" spans="1:5" x14ac:dyDescent="0.25">
      <c r="A187" s="1">
        <v>45737</v>
      </c>
      <c r="B187">
        <v>7.53</v>
      </c>
      <c r="D187">
        <v>19.05159722222222</v>
      </c>
      <c r="E187">
        <v>21.86</v>
      </c>
    </row>
    <row r="188" spans="1:5" x14ac:dyDescent="0.25">
      <c r="A188" s="1">
        <v>45740</v>
      </c>
      <c r="B188">
        <v>7.59</v>
      </c>
      <c r="D188">
        <v>19.203402777777775</v>
      </c>
      <c r="E188">
        <v>21.86</v>
      </c>
    </row>
    <row r="189" spans="1:5" x14ac:dyDescent="0.25">
      <c r="A189" s="1">
        <v>45741</v>
      </c>
      <c r="B189">
        <v>7.95</v>
      </c>
      <c r="D189">
        <v>20.114236111111111</v>
      </c>
      <c r="E189">
        <v>21.86</v>
      </c>
    </row>
    <row r="190" spans="1:5" x14ac:dyDescent="0.25">
      <c r="A190" s="1">
        <v>45742</v>
      </c>
      <c r="B190">
        <v>8.0399999999999991</v>
      </c>
      <c r="D190">
        <v>20.34194444444444</v>
      </c>
      <c r="E190">
        <v>21.86</v>
      </c>
    </row>
    <row r="191" spans="1:5" x14ac:dyDescent="0.25">
      <c r="A191" s="1">
        <v>45743</v>
      </c>
      <c r="B191">
        <v>8</v>
      </c>
      <c r="D191">
        <v>20.24074074074074</v>
      </c>
      <c r="E191">
        <v>21.86</v>
      </c>
    </row>
    <row r="192" spans="1:5" x14ac:dyDescent="0.25">
      <c r="A192" s="1">
        <v>45744</v>
      </c>
      <c r="B192">
        <v>8.1199999999999992</v>
      </c>
      <c r="D192">
        <v>20.54435185185185</v>
      </c>
      <c r="E192">
        <v>21.86</v>
      </c>
    </row>
    <row r="193" spans="1:5" x14ac:dyDescent="0.25">
      <c r="A193" s="1">
        <v>45747</v>
      </c>
      <c r="B193">
        <v>7.72</v>
      </c>
      <c r="D193">
        <v>19.532314814814814</v>
      </c>
      <c r="E193">
        <v>21.86</v>
      </c>
    </row>
    <row r="194" spans="1:5" x14ac:dyDescent="0.25">
      <c r="A194" s="1">
        <v>45748</v>
      </c>
      <c r="B194">
        <v>7.46</v>
      </c>
      <c r="D194">
        <v>18.87449074074074</v>
      </c>
      <c r="E194">
        <v>21.86</v>
      </c>
    </row>
    <row r="195" spans="1:5" x14ac:dyDescent="0.25">
      <c r="A195" s="1">
        <v>45749</v>
      </c>
      <c r="B195">
        <v>7.4</v>
      </c>
      <c r="D195">
        <v>18.722685185185185</v>
      </c>
      <c r="E195">
        <v>21.86</v>
      </c>
    </row>
    <row r="196" spans="1:5" x14ac:dyDescent="0.25">
      <c r="A196" s="1">
        <v>45750</v>
      </c>
      <c r="B196">
        <v>7.53</v>
      </c>
      <c r="D196">
        <v>19.05159722222222</v>
      </c>
      <c r="E196">
        <v>21.86</v>
      </c>
    </row>
    <row r="197" spans="1:5" x14ac:dyDescent="0.25">
      <c r="A197" s="1">
        <v>45751</v>
      </c>
      <c r="B197">
        <v>7.2</v>
      </c>
      <c r="D197">
        <v>18.216666666666665</v>
      </c>
      <c r="E197">
        <v>21.86</v>
      </c>
    </row>
    <row r="198" spans="1:5" x14ac:dyDescent="0.25">
      <c r="A198" s="1">
        <v>45754</v>
      </c>
      <c r="B198">
        <v>6.95</v>
      </c>
      <c r="D198">
        <v>17.58414351851852</v>
      </c>
      <c r="E198">
        <v>21.86</v>
      </c>
    </row>
    <row r="199" spans="1:5" x14ac:dyDescent="0.25">
      <c r="A199" s="1">
        <v>45755</v>
      </c>
      <c r="B199">
        <v>6.91</v>
      </c>
      <c r="D199">
        <v>17.482939814814813</v>
      </c>
      <c r="E199">
        <v>21.86</v>
      </c>
    </row>
    <row r="200" spans="1:5" x14ac:dyDescent="0.25">
      <c r="A200" s="1">
        <v>45756</v>
      </c>
      <c r="B200">
        <v>6.86</v>
      </c>
      <c r="D200">
        <v>17.356435185185184</v>
      </c>
      <c r="E200">
        <v>21.86</v>
      </c>
    </row>
    <row r="201" spans="1:5" x14ac:dyDescent="0.25">
      <c r="A201" s="1">
        <v>45757</v>
      </c>
      <c r="B201">
        <v>7.45</v>
      </c>
      <c r="D201">
        <v>18.849189814814814</v>
      </c>
      <c r="E201">
        <v>21.86</v>
      </c>
    </row>
    <row r="202" spans="1:5" x14ac:dyDescent="0.25">
      <c r="A202" s="1">
        <v>45758</v>
      </c>
      <c r="B202">
        <v>7.2</v>
      </c>
      <c r="D202">
        <v>18.216666666666665</v>
      </c>
      <c r="E202">
        <v>21.86</v>
      </c>
    </row>
    <row r="203" spans="1:5" x14ac:dyDescent="0.25">
      <c r="A203" s="1">
        <v>45761</v>
      </c>
      <c r="B203">
        <v>7.34</v>
      </c>
      <c r="D203">
        <v>18.57087962962963</v>
      </c>
      <c r="E203">
        <v>21.86</v>
      </c>
    </row>
    <row r="204" spans="1:5" x14ac:dyDescent="0.25">
      <c r="A204" s="1">
        <v>45762</v>
      </c>
      <c r="B204">
        <v>7.46</v>
      </c>
      <c r="D204">
        <v>18.87449074074074</v>
      </c>
      <c r="E204">
        <v>21.86</v>
      </c>
    </row>
    <row r="205" spans="1:5" x14ac:dyDescent="0.25">
      <c r="A205" s="1">
        <v>45763</v>
      </c>
      <c r="B205">
        <v>7.5</v>
      </c>
      <c r="D205">
        <v>18.975694444444443</v>
      </c>
      <c r="E205">
        <v>21.86</v>
      </c>
    </row>
    <row r="206" spans="1:5" x14ac:dyDescent="0.25">
      <c r="A206" s="1">
        <v>45764</v>
      </c>
      <c r="B206">
        <v>7.45</v>
      </c>
      <c r="D206">
        <v>18.849189814814814</v>
      </c>
      <c r="E206">
        <v>21.86</v>
      </c>
    </row>
    <row r="207" spans="1:5" x14ac:dyDescent="0.25">
      <c r="A207" s="1">
        <v>45769</v>
      </c>
      <c r="B207">
        <v>7.34</v>
      </c>
      <c r="D207">
        <v>18.57087962962963</v>
      </c>
      <c r="E207">
        <v>21.86</v>
      </c>
    </row>
    <row r="208" spans="1:5" x14ac:dyDescent="0.25">
      <c r="A208" s="1">
        <v>45770</v>
      </c>
      <c r="B208">
        <v>7.76</v>
      </c>
      <c r="D208">
        <v>19.633518518518517</v>
      </c>
      <c r="E208">
        <v>21.86</v>
      </c>
    </row>
    <row r="209" spans="1:5" x14ac:dyDescent="0.25">
      <c r="A209" s="1">
        <v>45771</v>
      </c>
      <c r="B209">
        <v>7.65</v>
      </c>
      <c r="D209">
        <v>19.355208333333334</v>
      </c>
      <c r="E209">
        <v>21.86</v>
      </c>
    </row>
    <row r="210" spans="1:5" x14ac:dyDescent="0.25">
      <c r="A210" s="1">
        <v>45775</v>
      </c>
      <c r="B210">
        <v>7.65</v>
      </c>
      <c r="D210">
        <v>19.355208333333334</v>
      </c>
      <c r="E210">
        <v>21.86</v>
      </c>
    </row>
    <row r="211" spans="1:5" x14ac:dyDescent="0.25">
      <c r="A211" s="1">
        <v>45776</v>
      </c>
      <c r="B211">
        <v>7.87</v>
      </c>
      <c r="D211">
        <v>19.911828703703701</v>
      </c>
      <c r="E211">
        <v>21.86</v>
      </c>
    </row>
    <row r="212" spans="1:5" x14ac:dyDescent="0.25">
      <c r="A212" s="1">
        <v>45777</v>
      </c>
      <c r="B212">
        <v>7.74</v>
      </c>
      <c r="D212">
        <v>19.582916666666666</v>
      </c>
      <c r="E212">
        <v>21.86</v>
      </c>
    </row>
    <row r="213" spans="1:5" x14ac:dyDescent="0.25">
      <c r="A213" s="1">
        <v>45778</v>
      </c>
      <c r="B213">
        <v>7.65</v>
      </c>
      <c r="D213">
        <v>19.355208333333334</v>
      </c>
      <c r="E213">
        <v>21.86</v>
      </c>
    </row>
    <row r="214" spans="1:5" x14ac:dyDescent="0.25">
      <c r="A214" s="1">
        <v>45779</v>
      </c>
      <c r="B214">
        <v>7.81</v>
      </c>
      <c r="D214">
        <v>19.760023148148147</v>
      </c>
      <c r="E214">
        <v>21.86</v>
      </c>
    </row>
    <row r="215" spans="1:5" x14ac:dyDescent="0.25">
      <c r="A215" s="1">
        <v>45782</v>
      </c>
      <c r="B215">
        <v>7.67</v>
      </c>
      <c r="D215">
        <v>19.405810185185185</v>
      </c>
      <c r="E215">
        <v>21.86</v>
      </c>
    </row>
    <row r="216" spans="1:5" x14ac:dyDescent="0.25">
      <c r="A216" s="1">
        <v>45783</v>
      </c>
      <c r="B216">
        <v>7.79</v>
      </c>
      <c r="D216">
        <v>19.709421296296295</v>
      </c>
      <c r="E216">
        <v>21.86</v>
      </c>
    </row>
    <row r="217" spans="1:5" x14ac:dyDescent="0.25">
      <c r="A217" s="1">
        <v>45784</v>
      </c>
      <c r="B217">
        <v>7.86</v>
      </c>
      <c r="D217">
        <v>19.886527777777779</v>
      </c>
      <c r="E217">
        <v>21.86</v>
      </c>
    </row>
    <row r="218" spans="1:5" x14ac:dyDescent="0.25">
      <c r="A218" s="1">
        <v>45785</v>
      </c>
      <c r="B218">
        <v>7.9</v>
      </c>
      <c r="D218">
        <v>19.987731481481482</v>
      </c>
      <c r="E218">
        <v>21.86</v>
      </c>
    </row>
    <row r="219" spans="1:5" x14ac:dyDescent="0.25">
      <c r="A219" s="1">
        <v>45786</v>
      </c>
      <c r="B219">
        <v>7.94</v>
      </c>
      <c r="D219">
        <v>20.088935185185186</v>
      </c>
      <c r="E219">
        <v>21.86</v>
      </c>
    </row>
    <row r="220" spans="1:5" x14ac:dyDescent="0.25">
      <c r="A220" s="1">
        <v>45789</v>
      </c>
      <c r="B220">
        <v>8.17</v>
      </c>
      <c r="D220">
        <v>20.670856481481479</v>
      </c>
      <c r="E220">
        <v>21.86</v>
      </c>
    </row>
    <row r="221" spans="1:5" x14ac:dyDescent="0.25">
      <c r="A221" s="1">
        <v>45790</v>
      </c>
      <c r="B221">
        <v>8.64</v>
      </c>
      <c r="D221">
        <v>21.86</v>
      </c>
      <c r="E221">
        <v>21.86</v>
      </c>
    </row>
    <row r="222" spans="1:5" x14ac:dyDescent="0.25">
      <c r="A222" s="1">
        <v>45791</v>
      </c>
      <c r="B222">
        <v>8.2899999999999991</v>
      </c>
      <c r="D222">
        <v>20.974467592592589</v>
      </c>
      <c r="E222">
        <v>21.86</v>
      </c>
    </row>
    <row r="223" spans="1:5" x14ac:dyDescent="0.25">
      <c r="A223" s="1">
        <v>45792</v>
      </c>
      <c r="B223">
        <v>8.4</v>
      </c>
      <c r="D223">
        <v>21.252777777777776</v>
      </c>
      <c r="E223">
        <v>21.86</v>
      </c>
    </row>
    <row r="224" spans="1:5" x14ac:dyDescent="0.25">
      <c r="A224" s="1">
        <v>45793</v>
      </c>
      <c r="B224">
        <v>8.35</v>
      </c>
      <c r="D224">
        <v>21.126273148148147</v>
      </c>
      <c r="E224">
        <v>21.86</v>
      </c>
    </row>
    <row r="225" spans="1:5" x14ac:dyDescent="0.25">
      <c r="A225" s="1">
        <v>45796</v>
      </c>
      <c r="B225">
        <v>8.16</v>
      </c>
      <c r="D225">
        <v>20.645555555555553</v>
      </c>
      <c r="E225">
        <v>21.86</v>
      </c>
    </row>
    <row r="226" spans="1:5" x14ac:dyDescent="0.25">
      <c r="A226" s="1">
        <v>45797</v>
      </c>
      <c r="B226">
        <v>8.18</v>
      </c>
      <c r="D226">
        <v>20.696157407407405</v>
      </c>
      <c r="E226">
        <v>21.86</v>
      </c>
    </row>
    <row r="227" spans="1:5" x14ac:dyDescent="0.25">
      <c r="A227" s="1">
        <v>45798</v>
      </c>
      <c r="B227">
        <v>7.71</v>
      </c>
      <c r="D227">
        <v>19.507013888888888</v>
      </c>
      <c r="E227">
        <v>21.86</v>
      </c>
    </row>
    <row r="228" spans="1:5" x14ac:dyDescent="0.25">
      <c r="A228" s="1">
        <v>45799</v>
      </c>
      <c r="B228">
        <v>7.61</v>
      </c>
      <c r="D228">
        <v>19.25400462962963</v>
      </c>
      <c r="E228">
        <v>21.86</v>
      </c>
    </row>
    <row r="229" spans="1:5" x14ac:dyDescent="0.25">
      <c r="A229" s="1">
        <v>45800</v>
      </c>
      <c r="B229">
        <v>7.65</v>
      </c>
      <c r="D229">
        <v>19.355208333333334</v>
      </c>
      <c r="E229">
        <v>21.86</v>
      </c>
    </row>
    <row r="230" spans="1:5" x14ac:dyDescent="0.25">
      <c r="A230" s="1">
        <v>45803</v>
      </c>
      <c r="B230">
        <v>7.42</v>
      </c>
      <c r="D230">
        <v>18.773287037037036</v>
      </c>
      <c r="E230">
        <v>21.86</v>
      </c>
    </row>
    <row r="231" spans="1:5" x14ac:dyDescent="0.25">
      <c r="A231" s="1">
        <v>45804</v>
      </c>
      <c r="B231">
        <v>7.28</v>
      </c>
      <c r="D231">
        <v>18.419074074074075</v>
      </c>
      <c r="E231">
        <v>21.86</v>
      </c>
    </row>
    <row r="232" spans="1:5" x14ac:dyDescent="0.25">
      <c r="A232" s="1">
        <v>45805</v>
      </c>
      <c r="B232">
        <v>7.49</v>
      </c>
      <c r="D232">
        <v>18.950393518518517</v>
      </c>
      <c r="E232">
        <v>21.86</v>
      </c>
    </row>
    <row r="233" spans="1:5" x14ac:dyDescent="0.25">
      <c r="A233" s="1">
        <v>45806</v>
      </c>
      <c r="B233">
        <v>7.51</v>
      </c>
      <c r="D233">
        <v>19.000995370370369</v>
      </c>
      <c r="E233">
        <v>21.86</v>
      </c>
    </row>
    <row r="234" spans="1:5" x14ac:dyDescent="0.25">
      <c r="A234" s="1">
        <v>45807</v>
      </c>
      <c r="B234">
        <v>7.77</v>
      </c>
      <c r="D234">
        <v>19.658819444444443</v>
      </c>
      <c r="E234">
        <v>21.86</v>
      </c>
    </row>
    <row r="235" spans="1:5" x14ac:dyDescent="0.25">
      <c r="A235" s="1">
        <v>45810</v>
      </c>
      <c r="B235">
        <v>7.58</v>
      </c>
      <c r="D235">
        <v>19.178101851851853</v>
      </c>
      <c r="E235">
        <v>21.86</v>
      </c>
    </row>
    <row r="236" spans="1:5" x14ac:dyDescent="0.25">
      <c r="A236" s="1">
        <v>45811</v>
      </c>
      <c r="B236">
        <v>7.6</v>
      </c>
      <c r="D236">
        <v>19.228703703703701</v>
      </c>
      <c r="E236">
        <v>21.86</v>
      </c>
    </row>
    <row r="237" spans="1:5" x14ac:dyDescent="0.25">
      <c r="A237" s="1">
        <v>45812</v>
      </c>
      <c r="B237">
        <v>7.88</v>
      </c>
      <c r="D237">
        <v>19.937129629629627</v>
      </c>
      <c r="E237">
        <v>21.86</v>
      </c>
    </row>
    <row r="238" spans="1:5" x14ac:dyDescent="0.25">
      <c r="A238" s="1">
        <v>45813</v>
      </c>
      <c r="B238">
        <v>7.85</v>
      </c>
      <c r="D238">
        <v>19.86122685185185</v>
      </c>
      <c r="E238">
        <v>21.86</v>
      </c>
    </row>
    <row r="239" spans="1:5" x14ac:dyDescent="0.25">
      <c r="A239" s="1">
        <v>45814</v>
      </c>
      <c r="B239">
        <v>7.85</v>
      </c>
      <c r="D239">
        <v>19.86122685185185</v>
      </c>
      <c r="E239">
        <v>21.86</v>
      </c>
    </row>
    <row r="240" spans="1:5" x14ac:dyDescent="0.25">
      <c r="A240" s="1">
        <v>45818</v>
      </c>
      <c r="B240">
        <v>7.84</v>
      </c>
      <c r="D240">
        <v>19.835925925925924</v>
      </c>
      <c r="E240">
        <v>21.86</v>
      </c>
    </row>
    <row r="241" spans="1:5" x14ac:dyDescent="0.25">
      <c r="A241" s="1">
        <v>45819</v>
      </c>
      <c r="B241">
        <v>7.76</v>
      </c>
      <c r="D241">
        <v>19.633518518518517</v>
      </c>
      <c r="E241">
        <v>21.86</v>
      </c>
    </row>
    <row r="242" spans="1:5" x14ac:dyDescent="0.25">
      <c r="A242" s="1">
        <v>45820</v>
      </c>
      <c r="B242">
        <v>7.58</v>
      </c>
      <c r="D242">
        <v>19.178101851851853</v>
      </c>
      <c r="E242">
        <v>21.86</v>
      </c>
    </row>
    <row r="243" spans="1:5" x14ac:dyDescent="0.25">
      <c r="A243" s="1">
        <v>45821</v>
      </c>
      <c r="B243">
        <v>7.4</v>
      </c>
      <c r="D243">
        <v>18.722685185185185</v>
      </c>
      <c r="E243">
        <v>21.86</v>
      </c>
    </row>
    <row r="244" spans="1:5" x14ac:dyDescent="0.25">
      <c r="A244" s="1">
        <v>45824</v>
      </c>
      <c r="B244">
        <v>7.46</v>
      </c>
      <c r="D244">
        <v>18.87449074074074</v>
      </c>
      <c r="E244">
        <v>21.86</v>
      </c>
    </row>
    <row r="245" spans="1:5" x14ac:dyDescent="0.25">
      <c r="A245" s="1">
        <v>45825</v>
      </c>
      <c r="B245">
        <v>7.78</v>
      </c>
      <c r="D245">
        <v>19.684120370370369</v>
      </c>
      <c r="E245">
        <v>21.86</v>
      </c>
    </row>
    <row r="246" spans="1:5" x14ac:dyDescent="0.25">
      <c r="A246" s="1">
        <v>45826</v>
      </c>
      <c r="B246">
        <v>7.59</v>
      </c>
      <c r="D246">
        <v>19.203402777777775</v>
      </c>
      <c r="E246">
        <v>21.86</v>
      </c>
    </row>
    <row r="247" spans="1:5" x14ac:dyDescent="0.25">
      <c r="A247" s="1">
        <v>45827</v>
      </c>
      <c r="B247">
        <v>7.43</v>
      </c>
      <c r="D247">
        <v>18.798587962962962</v>
      </c>
      <c r="E247">
        <v>21.86</v>
      </c>
    </row>
    <row r="248" spans="1:5" x14ac:dyDescent="0.25">
      <c r="A248" s="1">
        <v>45828</v>
      </c>
      <c r="B248">
        <v>7.38</v>
      </c>
      <c r="D248">
        <v>18.672083333333333</v>
      </c>
      <c r="E248">
        <v>21.86</v>
      </c>
    </row>
    <row r="249" spans="1:5" x14ac:dyDescent="0.25">
      <c r="A249" s="1">
        <v>45831</v>
      </c>
      <c r="B249">
        <v>7.36</v>
      </c>
      <c r="D249">
        <v>18.621481481481482</v>
      </c>
      <c r="E249">
        <v>21.86</v>
      </c>
    </row>
    <row r="250" spans="1:5" x14ac:dyDescent="0.25">
      <c r="A250" s="1">
        <v>45832</v>
      </c>
      <c r="B250">
        <v>7.27</v>
      </c>
      <c r="D250">
        <v>18.393773148148146</v>
      </c>
      <c r="E250">
        <v>21.86</v>
      </c>
    </row>
    <row r="251" spans="1:5" x14ac:dyDescent="0.25">
      <c r="A251" s="1">
        <v>45833</v>
      </c>
      <c r="B251">
        <v>7.35</v>
      </c>
      <c r="D251">
        <v>18.596180555555552</v>
      </c>
      <c r="E251">
        <v>21.86</v>
      </c>
    </row>
    <row r="252" spans="1:5" x14ac:dyDescent="0.25">
      <c r="A252" s="1">
        <v>45834</v>
      </c>
      <c r="B252">
        <v>7.44</v>
      </c>
      <c r="D252">
        <v>18.823888888888888</v>
      </c>
      <c r="E252">
        <v>21.86</v>
      </c>
    </row>
    <row r="253" spans="1:5" x14ac:dyDescent="0.25">
      <c r="A253" s="1">
        <v>45835</v>
      </c>
      <c r="B253">
        <v>7.61</v>
      </c>
      <c r="D253">
        <v>19.25400462962963</v>
      </c>
      <c r="E253">
        <v>21.86</v>
      </c>
    </row>
    <row r="254" spans="1:5" x14ac:dyDescent="0.25">
      <c r="A254" s="1">
        <v>45838</v>
      </c>
      <c r="B254">
        <v>7.78</v>
      </c>
      <c r="D254">
        <v>19.684120370370369</v>
      </c>
      <c r="E254">
        <v>21.86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F569-37FB-42E5-A1E0-F10C1950BEBF}">
  <dimension ref="A1:D254"/>
  <sheetViews>
    <sheetView topLeftCell="F1" zoomScale="85" zoomScaleNormal="85" workbookViewId="0">
      <selection activeCell="R31" sqref="R31"/>
    </sheetView>
  </sheetViews>
  <sheetFormatPr defaultRowHeight="13.2" x14ac:dyDescent="0.25"/>
  <cols>
    <col min="1" max="1" width="18.5546875" style="1" customWidth="1"/>
    <col min="4" max="4" width="12.5546875" bestFit="1" customWidth="1"/>
  </cols>
  <sheetData>
    <row r="1" spans="1:4" ht="14.4" x14ac:dyDescent="0.3">
      <c r="A1" s="3" t="s">
        <v>2</v>
      </c>
      <c r="B1" t="s">
        <v>6</v>
      </c>
      <c r="C1" t="s">
        <v>12</v>
      </c>
      <c r="D1" t="s">
        <v>15</v>
      </c>
    </row>
    <row r="2" spans="1:4" x14ac:dyDescent="0.25">
      <c r="A2" s="1">
        <v>45474</v>
      </c>
      <c r="B2">
        <v>4.95</v>
      </c>
      <c r="C2" s="16">
        <f>(22+19+16.5)/100</f>
        <v>0.57499999999999996</v>
      </c>
      <c r="D2" s="15">
        <f>$C$2/B2</f>
        <v>0.11616161616161615</v>
      </c>
    </row>
    <row r="3" spans="1:4" x14ac:dyDescent="0.25">
      <c r="A3" s="1">
        <v>45475</v>
      </c>
      <c r="B3">
        <v>4.96</v>
      </c>
      <c r="C3" s="16">
        <f t="shared" ref="C3:C66" si="0">(22+19+16.5)/100</f>
        <v>0.57499999999999996</v>
      </c>
      <c r="D3" s="15">
        <f t="shared" ref="D3:D66" si="1">$C$2/B3</f>
        <v>0.1159274193548387</v>
      </c>
    </row>
    <row r="4" spans="1:4" x14ac:dyDescent="0.25">
      <c r="A4" s="1">
        <v>45476</v>
      </c>
      <c r="B4">
        <v>4.8099999999999996</v>
      </c>
      <c r="C4" s="16">
        <f t="shared" si="0"/>
        <v>0.57499999999999996</v>
      </c>
      <c r="D4" s="15">
        <f t="shared" si="1"/>
        <v>0.11954261954261955</v>
      </c>
    </row>
    <row r="5" spans="1:4" x14ac:dyDescent="0.25">
      <c r="A5" s="1">
        <v>45477</v>
      </c>
      <c r="B5">
        <v>4.84</v>
      </c>
      <c r="C5" s="16">
        <f t="shared" si="0"/>
        <v>0.57499999999999996</v>
      </c>
      <c r="D5" s="15">
        <f t="shared" si="1"/>
        <v>0.11880165289256198</v>
      </c>
    </row>
    <row r="6" spans="1:4" x14ac:dyDescent="0.25">
      <c r="A6" s="1">
        <v>45478</v>
      </c>
      <c r="B6">
        <v>4.82</v>
      </c>
      <c r="C6" s="16">
        <f t="shared" si="0"/>
        <v>0.57499999999999996</v>
      </c>
      <c r="D6" s="15">
        <f t="shared" si="1"/>
        <v>0.11929460580912861</v>
      </c>
    </row>
    <row r="7" spans="1:4" x14ac:dyDescent="0.25">
      <c r="A7" s="1">
        <v>45481</v>
      </c>
      <c r="B7">
        <v>4.8099999999999996</v>
      </c>
      <c r="C7" s="16">
        <f t="shared" si="0"/>
        <v>0.57499999999999996</v>
      </c>
      <c r="D7" s="15">
        <f t="shared" si="1"/>
        <v>0.11954261954261955</v>
      </c>
    </row>
    <row r="8" spans="1:4" x14ac:dyDescent="0.25">
      <c r="A8" s="1">
        <v>45482</v>
      </c>
      <c r="B8">
        <v>4.91</v>
      </c>
      <c r="C8" s="16">
        <f t="shared" si="0"/>
        <v>0.57499999999999996</v>
      </c>
      <c r="D8" s="15">
        <f t="shared" si="1"/>
        <v>0.11710794297352341</v>
      </c>
    </row>
    <row r="9" spans="1:4" x14ac:dyDescent="0.25">
      <c r="A9" s="1">
        <v>45483</v>
      </c>
      <c r="B9">
        <v>4.91</v>
      </c>
      <c r="C9" s="16">
        <f t="shared" si="0"/>
        <v>0.57499999999999996</v>
      </c>
      <c r="D9" s="15">
        <f t="shared" si="1"/>
        <v>0.11710794297352341</v>
      </c>
    </row>
    <row r="10" spans="1:4" x14ac:dyDescent="0.25">
      <c r="A10" s="1">
        <v>45484</v>
      </c>
      <c r="B10">
        <v>5</v>
      </c>
      <c r="C10" s="16">
        <f t="shared" si="0"/>
        <v>0.57499999999999996</v>
      </c>
      <c r="D10" s="15">
        <f t="shared" si="1"/>
        <v>0.11499999999999999</v>
      </c>
    </row>
    <row r="11" spans="1:4" x14ac:dyDescent="0.25">
      <c r="A11" s="1">
        <v>45485</v>
      </c>
      <c r="B11">
        <v>5.08</v>
      </c>
      <c r="C11" s="16">
        <f t="shared" si="0"/>
        <v>0.57499999999999996</v>
      </c>
      <c r="D11" s="15">
        <f t="shared" si="1"/>
        <v>0.11318897637795275</v>
      </c>
    </row>
    <row r="12" spans="1:4" x14ac:dyDescent="0.25">
      <c r="A12" s="1">
        <v>45488</v>
      </c>
      <c r="B12">
        <v>4.95</v>
      </c>
      <c r="C12" s="16">
        <f t="shared" si="0"/>
        <v>0.57499999999999996</v>
      </c>
      <c r="D12" s="15">
        <f t="shared" si="1"/>
        <v>0.11616161616161615</v>
      </c>
    </row>
    <row r="13" spans="1:4" x14ac:dyDescent="0.25">
      <c r="A13" s="1">
        <v>45489</v>
      </c>
      <c r="B13">
        <v>5.19</v>
      </c>
      <c r="C13" s="16">
        <f t="shared" si="0"/>
        <v>0.57499999999999996</v>
      </c>
      <c r="D13" s="15">
        <f t="shared" si="1"/>
        <v>0.11078998073217725</v>
      </c>
    </row>
    <row r="14" spans="1:4" x14ac:dyDescent="0.25">
      <c r="A14" s="1">
        <v>45490</v>
      </c>
      <c r="B14">
        <v>5.38</v>
      </c>
      <c r="C14" s="16">
        <f t="shared" si="0"/>
        <v>0.57499999999999996</v>
      </c>
      <c r="D14" s="15">
        <f t="shared" si="1"/>
        <v>0.10687732342007435</v>
      </c>
    </row>
    <row r="15" spans="1:4" x14ac:dyDescent="0.25">
      <c r="A15" s="1">
        <v>45491</v>
      </c>
      <c r="B15">
        <v>5.46</v>
      </c>
      <c r="C15" s="16">
        <f t="shared" si="0"/>
        <v>0.57499999999999996</v>
      </c>
      <c r="D15" s="15">
        <f t="shared" si="1"/>
        <v>0.1053113553113553</v>
      </c>
    </row>
    <row r="16" spans="1:4" x14ac:dyDescent="0.25">
      <c r="A16" s="1">
        <v>45492</v>
      </c>
      <c r="B16">
        <v>5.75</v>
      </c>
      <c r="C16" s="16">
        <f t="shared" si="0"/>
        <v>0.57499999999999996</v>
      </c>
      <c r="D16" s="15">
        <f t="shared" si="1"/>
        <v>9.9999999999999992E-2</v>
      </c>
    </row>
    <row r="17" spans="1:4" x14ac:dyDescent="0.25">
      <c r="A17" s="1">
        <v>45495</v>
      </c>
      <c r="B17">
        <v>5.77</v>
      </c>
      <c r="C17" s="16">
        <f t="shared" si="0"/>
        <v>0.57499999999999996</v>
      </c>
      <c r="D17" s="15">
        <f t="shared" si="1"/>
        <v>9.965337954939342E-2</v>
      </c>
    </row>
    <row r="18" spans="1:4" x14ac:dyDescent="0.25">
      <c r="A18" s="1">
        <v>45496</v>
      </c>
      <c r="B18">
        <v>5.88</v>
      </c>
      <c r="C18" s="16">
        <f t="shared" si="0"/>
        <v>0.57499999999999996</v>
      </c>
      <c r="D18" s="15">
        <f t="shared" si="1"/>
        <v>9.7789115646258501E-2</v>
      </c>
    </row>
    <row r="19" spans="1:4" x14ac:dyDescent="0.25">
      <c r="A19" s="1">
        <v>45497</v>
      </c>
      <c r="B19">
        <v>5.9</v>
      </c>
      <c r="C19" s="16">
        <f t="shared" si="0"/>
        <v>0.57499999999999996</v>
      </c>
      <c r="D19" s="15">
        <f t="shared" si="1"/>
        <v>9.7457627118644058E-2</v>
      </c>
    </row>
    <row r="20" spans="1:4" x14ac:dyDescent="0.25">
      <c r="A20" s="1">
        <v>45498</v>
      </c>
      <c r="B20">
        <v>5.75</v>
      </c>
      <c r="C20" s="16">
        <f t="shared" si="0"/>
        <v>0.57499999999999996</v>
      </c>
      <c r="D20" s="15">
        <f t="shared" si="1"/>
        <v>9.9999999999999992E-2</v>
      </c>
    </row>
    <row r="21" spans="1:4" x14ac:dyDescent="0.25">
      <c r="A21" s="1">
        <v>45499</v>
      </c>
      <c r="B21">
        <v>5.65</v>
      </c>
      <c r="C21" s="16">
        <f t="shared" si="0"/>
        <v>0.57499999999999996</v>
      </c>
      <c r="D21" s="15">
        <f t="shared" si="1"/>
        <v>0.10176991150442477</v>
      </c>
    </row>
    <row r="22" spans="1:4" x14ac:dyDescent="0.25">
      <c r="A22" s="1">
        <v>45502</v>
      </c>
      <c r="B22">
        <v>5.8</v>
      </c>
      <c r="C22" s="16">
        <f t="shared" si="0"/>
        <v>0.57499999999999996</v>
      </c>
      <c r="D22" s="15">
        <f t="shared" si="1"/>
        <v>9.9137931034482749E-2</v>
      </c>
    </row>
    <row r="23" spans="1:4" x14ac:dyDescent="0.25">
      <c r="A23" s="1">
        <v>45503</v>
      </c>
      <c r="B23">
        <v>5.75</v>
      </c>
      <c r="C23" s="16">
        <f t="shared" si="0"/>
        <v>0.57499999999999996</v>
      </c>
      <c r="D23" s="15">
        <f t="shared" si="1"/>
        <v>9.9999999999999992E-2</v>
      </c>
    </row>
    <row r="24" spans="1:4" x14ac:dyDescent="0.25">
      <c r="A24" s="1">
        <v>45504</v>
      </c>
      <c r="B24">
        <v>5.82</v>
      </c>
      <c r="C24" s="16">
        <f t="shared" si="0"/>
        <v>0.57499999999999996</v>
      </c>
      <c r="D24" s="15">
        <f t="shared" si="1"/>
        <v>9.8797250859106511E-2</v>
      </c>
    </row>
    <row r="25" spans="1:4" x14ac:dyDescent="0.25">
      <c r="A25" s="1">
        <v>45505</v>
      </c>
      <c r="B25">
        <v>6.03</v>
      </c>
      <c r="C25" s="16">
        <f t="shared" si="0"/>
        <v>0.57499999999999996</v>
      </c>
      <c r="D25" s="15">
        <f t="shared" si="1"/>
        <v>9.535655058043116E-2</v>
      </c>
    </row>
    <row r="26" spans="1:4" x14ac:dyDescent="0.25">
      <c r="A26" s="1">
        <v>45506</v>
      </c>
      <c r="B26">
        <v>5.99</v>
      </c>
      <c r="C26" s="16">
        <f t="shared" si="0"/>
        <v>0.57499999999999996</v>
      </c>
      <c r="D26" s="15">
        <f t="shared" si="1"/>
        <v>9.5993322203672779E-2</v>
      </c>
    </row>
    <row r="27" spans="1:4" x14ac:dyDescent="0.25">
      <c r="A27" s="1">
        <v>45509</v>
      </c>
      <c r="B27">
        <v>5.65</v>
      </c>
      <c r="C27" s="16">
        <f t="shared" si="0"/>
        <v>0.57499999999999996</v>
      </c>
      <c r="D27" s="15">
        <f t="shared" si="1"/>
        <v>0.10176991150442477</v>
      </c>
    </row>
    <row r="28" spans="1:4" x14ac:dyDescent="0.25">
      <c r="A28" s="1">
        <v>45510</v>
      </c>
      <c r="B28">
        <v>5.85</v>
      </c>
      <c r="C28" s="16">
        <f t="shared" si="0"/>
        <v>0.57499999999999996</v>
      </c>
      <c r="D28" s="15">
        <f t="shared" si="1"/>
        <v>9.8290598290598288E-2</v>
      </c>
    </row>
    <row r="29" spans="1:4" x14ac:dyDescent="0.25">
      <c r="A29" s="1">
        <v>45511</v>
      </c>
      <c r="B29">
        <v>5.94</v>
      </c>
      <c r="C29" s="16">
        <f t="shared" si="0"/>
        <v>0.57499999999999996</v>
      </c>
      <c r="D29" s="15">
        <f t="shared" si="1"/>
        <v>9.6801346801346791E-2</v>
      </c>
    </row>
    <row r="30" spans="1:4" x14ac:dyDescent="0.25">
      <c r="A30" s="1">
        <v>45512</v>
      </c>
      <c r="B30">
        <v>5.82</v>
      </c>
      <c r="C30" s="16">
        <f t="shared" si="0"/>
        <v>0.57499999999999996</v>
      </c>
      <c r="D30" s="15">
        <f t="shared" si="1"/>
        <v>9.8797250859106511E-2</v>
      </c>
    </row>
    <row r="31" spans="1:4" x14ac:dyDescent="0.25">
      <c r="A31" s="1">
        <v>45513</v>
      </c>
      <c r="B31">
        <v>5.89</v>
      </c>
      <c r="C31" s="16">
        <f t="shared" si="0"/>
        <v>0.57499999999999996</v>
      </c>
      <c r="D31" s="15">
        <f t="shared" si="1"/>
        <v>9.7623089983022063E-2</v>
      </c>
    </row>
    <row r="32" spans="1:4" x14ac:dyDescent="0.25">
      <c r="A32" s="1">
        <v>45516</v>
      </c>
      <c r="B32">
        <v>6.01</v>
      </c>
      <c r="C32" s="16">
        <f t="shared" si="0"/>
        <v>0.57499999999999996</v>
      </c>
      <c r="D32" s="15">
        <f t="shared" si="1"/>
        <v>9.5673876871880198E-2</v>
      </c>
    </row>
    <row r="33" spans="1:4" x14ac:dyDescent="0.25">
      <c r="A33" s="1">
        <v>45517</v>
      </c>
      <c r="B33">
        <v>6.15</v>
      </c>
      <c r="C33" s="16">
        <f t="shared" si="0"/>
        <v>0.57499999999999996</v>
      </c>
      <c r="D33" s="15">
        <f t="shared" si="1"/>
        <v>9.3495934959349575E-2</v>
      </c>
    </row>
    <row r="34" spans="1:4" x14ac:dyDescent="0.25">
      <c r="A34" s="1">
        <v>45518</v>
      </c>
      <c r="B34">
        <v>6.09</v>
      </c>
      <c r="C34" s="16">
        <f t="shared" si="0"/>
        <v>0.57499999999999996</v>
      </c>
      <c r="D34" s="15">
        <f t="shared" si="1"/>
        <v>9.4417077175697861E-2</v>
      </c>
    </row>
    <row r="35" spans="1:4" x14ac:dyDescent="0.25">
      <c r="A35" s="1">
        <v>45519</v>
      </c>
      <c r="B35">
        <v>6.1</v>
      </c>
      <c r="C35" s="16">
        <f t="shared" si="0"/>
        <v>0.57499999999999996</v>
      </c>
      <c r="D35" s="15">
        <f t="shared" si="1"/>
        <v>9.4262295081967207E-2</v>
      </c>
    </row>
    <row r="36" spans="1:4" x14ac:dyDescent="0.25">
      <c r="A36" s="1">
        <v>45520</v>
      </c>
      <c r="B36">
        <v>6.1</v>
      </c>
      <c r="C36" s="16">
        <f t="shared" si="0"/>
        <v>0.57499999999999996</v>
      </c>
      <c r="D36" s="15">
        <f t="shared" si="1"/>
        <v>9.4262295081967207E-2</v>
      </c>
    </row>
    <row r="37" spans="1:4" x14ac:dyDescent="0.25">
      <c r="A37" s="1">
        <v>45523</v>
      </c>
      <c r="B37">
        <v>6.07</v>
      </c>
      <c r="C37" s="16">
        <f t="shared" si="0"/>
        <v>0.57499999999999996</v>
      </c>
      <c r="D37" s="15">
        <f t="shared" si="1"/>
        <v>9.4728171334431621E-2</v>
      </c>
    </row>
    <row r="38" spans="1:4" x14ac:dyDescent="0.25">
      <c r="A38" s="1">
        <v>45524</v>
      </c>
      <c r="B38">
        <v>6.42</v>
      </c>
      <c r="C38" s="16">
        <f t="shared" si="0"/>
        <v>0.57499999999999996</v>
      </c>
      <c r="D38" s="15">
        <f t="shared" si="1"/>
        <v>8.9563862928348906E-2</v>
      </c>
    </row>
    <row r="39" spans="1:4" x14ac:dyDescent="0.25">
      <c r="A39" s="1">
        <v>45525</v>
      </c>
      <c r="B39">
        <v>6.34</v>
      </c>
      <c r="C39" s="16">
        <f t="shared" si="0"/>
        <v>0.57499999999999996</v>
      </c>
      <c r="D39" s="15">
        <f t="shared" si="1"/>
        <v>9.0694006309148256E-2</v>
      </c>
    </row>
    <row r="40" spans="1:4" x14ac:dyDescent="0.25">
      <c r="A40" s="1">
        <v>45526</v>
      </c>
      <c r="B40">
        <v>7.05</v>
      </c>
      <c r="C40" s="16">
        <f t="shared" si="0"/>
        <v>0.57499999999999996</v>
      </c>
      <c r="D40" s="15">
        <f t="shared" si="1"/>
        <v>8.1560283687943255E-2</v>
      </c>
    </row>
    <row r="41" spans="1:4" x14ac:dyDescent="0.25">
      <c r="A41" s="1">
        <v>45527</v>
      </c>
      <c r="B41">
        <v>6.88</v>
      </c>
      <c r="C41" s="16">
        <f t="shared" si="0"/>
        <v>0.57499999999999996</v>
      </c>
      <c r="D41" s="15">
        <f t="shared" si="1"/>
        <v>8.3575581395348833E-2</v>
      </c>
    </row>
    <row r="42" spans="1:4" x14ac:dyDescent="0.25">
      <c r="A42" s="1">
        <v>45530</v>
      </c>
      <c r="B42">
        <v>7</v>
      </c>
      <c r="C42" s="16">
        <f t="shared" si="0"/>
        <v>0.57499999999999996</v>
      </c>
      <c r="D42" s="15">
        <f t="shared" si="1"/>
        <v>8.2142857142857142E-2</v>
      </c>
    </row>
    <row r="43" spans="1:4" x14ac:dyDescent="0.25">
      <c r="A43" s="1">
        <v>45531</v>
      </c>
      <c r="B43">
        <v>7</v>
      </c>
      <c r="C43" s="16">
        <f t="shared" si="0"/>
        <v>0.57499999999999996</v>
      </c>
      <c r="D43" s="15">
        <f t="shared" si="1"/>
        <v>8.2142857142857142E-2</v>
      </c>
    </row>
    <row r="44" spans="1:4" x14ac:dyDescent="0.25">
      <c r="A44" s="1">
        <v>45532</v>
      </c>
      <c r="B44">
        <v>6.99</v>
      </c>
      <c r="C44" s="16">
        <f t="shared" si="0"/>
        <v>0.57499999999999996</v>
      </c>
      <c r="D44" s="15">
        <f t="shared" si="1"/>
        <v>8.2260371959942763E-2</v>
      </c>
    </row>
    <row r="45" spans="1:4" x14ac:dyDescent="0.25">
      <c r="A45" s="1">
        <v>45533</v>
      </c>
      <c r="B45">
        <v>6.88</v>
      </c>
      <c r="C45" s="16">
        <f t="shared" si="0"/>
        <v>0.57499999999999996</v>
      </c>
      <c r="D45" s="15">
        <f t="shared" si="1"/>
        <v>8.3575581395348833E-2</v>
      </c>
    </row>
    <row r="46" spans="1:4" x14ac:dyDescent="0.25">
      <c r="A46" s="1">
        <v>45534</v>
      </c>
      <c r="B46">
        <v>6.94</v>
      </c>
      <c r="C46" s="16">
        <f t="shared" si="0"/>
        <v>0.57499999999999996</v>
      </c>
      <c r="D46" s="15">
        <f t="shared" si="1"/>
        <v>8.2853025936599406E-2</v>
      </c>
    </row>
    <row r="47" spans="1:4" x14ac:dyDescent="0.25">
      <c r="A47" s="1">
        <v>45537</v>
      </c>
      <c r="B47">
        <v>7</v>
      </c>
      <c r="C47" s="16">
        <f t="shared" si="0"/>
        <v>0.57499999999999996</v>
      </c>
      <c r="D47" s="15">
        <f t="shared" si="1"/>
        <v>8.2142857142857142E-2</v>
      </c>
    </row>
    <row r="48" spans="1:4" x14ac:dyDescent="0.25">
      <c r="A48" s="1">
        <v>45538</v>
      </c>
      <c r="B48">
        <v>6.98</v>
      </c>
      <c r="C48" s="16">
        <f t="shared" si="0"/>
        <v>0.57499999999999996</v>
      </c>
      <c r="D48" s="15">
        <f t="shared" si="1"/>
        <v>8.2378223495701994E-2</v>
      </c>
    </row>
    <row r="49" spans="1:4" x14ac:dyDescent="0.25">
      <c r="A49" s="1">
        <v>45539</v>
      </c>
      <c r="B49">
        <v>6.82</v>
      </c>
      <c r="C49" s="16">
        <f t="shared" si="0"/>
        <v>0.57499999999999996</v>
      </c>
      <c r="D49" s="15">
        <f t="shared" si="1"/>
        <v>8.4310850439882692E-2</v>
      </c>
    </row>
    <row r="50" spans="1:4" x14ac:dyDescent="0.25">
      <c r="A50" s="1">
        <v>45540</v>
      </c>
      <c r="B50">
        <v>6.78</v>
      </c>
      <c r="C50" s="16">
        <f t="shared" si="0"/>
        <v>0.57499999999999996</v>
      </c>
      <c r="D50" s="15">
        <f t="shared" si="1"/>
        <v>8.4808259587020637E-2</v>
      </c>
    </row>
    <row r="51" spans="1:4" x14ac:dyDescent="0.25">
      <c r="A51" s="1">
        <v>45541</v>
      </c>
      <c r="B51">
        <v>6.85</v>
      </c>
      <c r="C51" s="16">
        <f t="shared" si="0"/>
        <v>0.57499999999999996</v>
      </c>
      <c r="D51" s="15">
        <f t="shared" si="1"/>
        <v>8.3941605839416053E-2</v>
      </c>
    </row>
    <row r="52" spans="1:4" x14ac:dyDescent="0.25">
      <c r="A52" s="1">
        <v>45544</v>
      </c>
      <c r="B52">
        <v>6.72</v>
      </c>
      <c r="C52" s="16">
        <f t="shared" si="0"/>
        <v>0.57499999999999996</v>
      </c>
      <c r="D52" s="15">
        <f t="shared" si="1"/>
        <v>8.5565476190476192E-2</v>
      </c>
    </row>
    <row r="53" spans="1:4" x14ac:dyDescent="0.25">
      <c r="A53" s="1">
        <v>45545</v>
      </c>
      <c r="B53">
        <v>6.65</v>
      </c>
      <c r="C53" s="16">
        <f t="shared" si="0"/>
        <v>0.57499999999999996</v>
      </c>
      <c r="D53" s="15">
        <f t="shared" si="1"/>
        <v>8.646616541353383E-2</v>
      </c>
    </row>
    <row r="54" spans="1:4" x14ac:dyDescent="0.25">
      <c r="A54" s="1">
        <v>45546</v>
      </c>
      <c r="B54">
        <v>6.66</v>
      </c>
      <c r="C54" s="16">
        <f t="shared" si="0"/>
        <v>0.57499999999999996</v>
      </c>
      <c r="D54" s="15">
        <f t="shared" si="1"/>
        <v>8.6336336336336333E-2</v>
      </c>
    </row>
    <row r="55" spans="1:4" x14ac:dyDescent="0.25">
      <c r="A55" s="1">
        <v>45547</v>
      </c>
      <c r="B55">
        <v>6.7</v>
      </c>
      <c r="C55" s="16">
        <f t="shared" si="0"/>
        <v>0.57499999999999996</v>
      </c>
      <c r="D55" s="15">
        <f t="shared" si="1"/>
        <v>8.5820895522388058E-2</v>
      </c>
    </row>
    <row r="56" spans="1:4" x14ac:dyDescent="0.25">
      <c r="A56" s="1">
        <v>45548</v>
      </c>
      <c r="B56">
        <v>6.67</v>
      </c>
      <c r="C56" s="16">
        <f t="shared" si="0"/>
        <v>0.57499999999999996</v>
      </c>
      <c r="D56" s="15">
        <f t="shared" si="1"/>
        <v>8.620689655172413E-2</v>
      </c>
    </row>
    <row r="57" spans="1:4" x14ac:dyDescent="0.25">
      <c r="A57" s="1">
        <v>45551</v>
      </c>
      <c r="B57">
        <v>6.7</v>
      </c>
      <c r="C57" s="16">
        <f t="shared" si="0"/>
        <v>0.57499999999999996</v>
      </c>
      <c r="D57" s="15">
        <f t="shared" si="1"/>
        <v>8.5820895522388058E-2</v>
      </c>
    </row>
    <row r="58" spans="1:4" x14ac:dyDescent="0.25">
      <c r="A58" s="1">
        <v>45552</v>
      </c>
      <c r="B58">
        <v>6.7</v>
      </c>
      <c r="C58" s="16">
        <f t="shared" si="0"/>
        <v>0.57499999999999996</v>
      </c>
      <c r="D58" s="15">
        <f t="shared" si="1"/>
        <v>8.5820895522388058E-2</v>
      </c>
    </row>
    <row r="59" spans="1:4" x14ac:dyDescent="0.25">
      <c r="A59" s="1">
        <v>45553</v>
      </c>
      <c r="B59">
        <v>6.75</v>
      </c>
      <c r="C59" s="16">
        <f t="shared" si="0"/>
        <v>0.57499999999999996</v>
      </c>
      <c r="D59" s="15">
        <f t="shared" si="1"/>
        <v>8.5185185185185183E-2</v>
      </c>
    </row>
    <row r="60" spans="1:4" x14ac:dyDescent="0.25">
      <c r="A60" s="1">
        <v>45554</v>
      </c>
      <c r="B60">
        <v>6.76</v>
      </c>
      <c r="C60" s="16">
        <f t="shared" si="0"/>
        <v>0.57499999999999996</v>
      </c>
      <c r="D60" s="15">
        <f t="shared" si="1"/>
        <v>8.5059171597633126E-2</v>
      </c>
    </row>
    <row r="61" spans="1:4" x14ac:dyDescent="0.25">
      <c r="A61" s="1">
        <v>45555</v>
      </c>
      <c r="B61">
        <v>6.91</v>
      </c>
      <c r="C61" s="16">
        <f t="shared" si="0"/>
        <v>0.57499999999999996</v>
      </c>
      <c r="D61" s="15">
        <f t="shared" si="1"/>
        <v>8.3212735166425467E-2</v>
      </c>
    </row>
    <row r="62" spans="1:4" x14ac:dyDescent="0.25">
      <c r="A62" s="1">
        <v>45558</v>
      </c>
      <c r="B62">
        <v>7.04</v>
      </c>
      <c r="C62" s="16">
        <f t="shared" si="0"/>
        <v>0.57499999999999996</v>
      </c>
      <c r="D62" s="15">
        <f t="shared" si="1"/>
        <v>8.1676136363636354E-2</v>
      </c>
    </row>
    <row r="63" spans="1:4" x14ac:dyDescent="0.25">
      <c r="A63" s="1">
        <v>45559</v>
      </c>
      <c r="B63">
        <v>7.08</v>
      </c>
      <c r="C63" s="16">
        <f t="shared" si="0"/>
        <v>0.57499999999999996</v>
      </c>
      <c r="D63" s="15">
        <f t="shared" si="1"/>
        <v>8.121468926553671E-2</v>
      </c>
    </row>
    <row r="64" spans="1:4" x14ac:dyDescent="0.25">
      <c r="A64" s="1">
        <v>45560</v>
      </c>
      <c r="B64">
        <v>7.09</v>
      </c>
      <c r="C64" s="16">
        <f t="shared" si="0"/>
        <v>0.57499999999999996</v>
      </c>
      <c r="D64" s="15">
        <f t="shared" si="1"/>
        <v>8.1100141043723553E-2</v>
      </c>
    </row>
    <row r="65" spans="1:4" x14ac:dyDescent="0.25">
      <c r="A65" s="1">
        <v>45561</v>
      </c>
      <c r="B65">
        <v>7.3</v>
      </c>
      <c r="C65" s="16">
        <f t="shared" si="0"/>
        <v>0.57499999999999996</v>
      </c>
      <c r="D65" s="15">
        <f t="shared" si="1"/>
        <v>7.8767123287671229E-2</v>
      </c>
    </row>
    <row r="66" spans="1:4" x14ac:dyDescent="0.25">
      <c r="A66" s="1">
        <v>45562</v>
      </c>
      <c r="B66">
        <v>7.31</v>
      </c>
      <c r="C66" s="16">
        <f t="shared" si="0"/>
        <v>0.57499999999999996</v>
      </c>
      <c r="D66" s="15">
        <f t="shared" si="1"/>
        <v>7.8659370725034192E-2</v>
      </c>
    </row>
    <row r="67" spans="1:4" x14ac:dyDescent="0.25">
      <c r="A67" s="1">
        <v>45565</v>
      </c>
      <c r="B67">
        <v>7.5</v>
      </c>
      <c r="C67" s="16">
        <f t="shared" ref="C67:C130" si="2">(22+19+16.5)/100</f>
        <v>0.57499999999999996</v>
      </c>
      <c r="D67" s="15">
        <f t="shared" ref="D67:D130" si="3">$C$2/B67</f>
        <v>7.6666666666666661E-2</v>
      </c>
    </row>
    <row r="68" spans="1:4" x14ac:dyDescent="0.25">
      <c r="A68" s="1">
        <v>45566</v>
      </c>
      <c r="B68">
        <v>7.64</v>
      </c>
      <c r="C68" s="16">
        <f t="shared" si="2"/>
        <v>0.57499999999999996</v>
      </c>
      <c r="D68" s="15">
        <f t="shared" si="3"/>
        <v>7.5261780104712045E-2</v>
      </c>
    </row>
    <row r="69" spans="1:4" x14ac:dyDescent="0.25">
      <c r="A69" s="1">
        <v>45567</v>
      </c>
      <c r="B69">
        <v>7.7</v>
      </c>
      <c r="C69" s="16">
        <f t="shared" si="2"/>
        <v>0.57499999999999996</v>
      </c>
      <c r="D69" s="15">
        <f t="shared" si="3"/>
        <v>7.4675324675324672E-2</v>
      </c>
    </row>
    <row r="70" spans="1:4" x14ac:dyDescent="0.25">
      <c r="A70" s="1">
        <v>45568</v>
      </c>
      <c r="B70">
        <v>7.75</v>
      </c>
      <c r="C70" s="16">
        <f t="shared" si="2"/>
        <v>0.57499999999999996</v>
      </c>
      <c r="D70" s="15">
        <f t="shared" si="3"/>
        <v>7.4193548387096769E-2</v>
      </c>
    </row>
    <row r="71" spans="1:4" x14ac:dyDescent="0.25">
      <c r="A71" s="1">
        <v>45569</v>
      </c>
      <c r="B71">
        <v>7.6</v>
      </c>
      <c r="C71" s="16">
        <f t="shared" si="2"/>
        <v>0.57499999999999996</v>
      </c>
      <c r="D71" s="15">
        <f t="shared" si="3"/>
        <v>7.5657894736842105E-2</v>
      </c>
    </row>
    <row r="72" spans="1:4" x14ac:dyDescent="0.25">
      <c r="A72" s="1">
        <v>45572</v>
      </c>
      <c r="B72">
        <v>7.7</v>
      </c>
      <c r="C72" s="16">
        <f t="shared" si="2"/>
        <v>0.57499999999999996</v>
      </c>
      <c r="D72" s="15">
        <f t="shared" si="3"/>
        <v>7.4675324675324672E-2</v>
      </c>
    </row>
    <row r="73" spans="1:4" x14ac:dyDescent="0.25">
      <c r="A73" s="1">
        <v>45573</v>
      </c>
      <c r="B73">
        <v>7.65</v>
      </c>
      <c r="C73" s="16">
        <f t="shared" si="2"/>
        <v>0.57499999999999996</v>
      </c>
      <c r="D73" s="15">
        <f t="shared" si="3"/>
        <v>7.5163398692810454E-2</v>
      </c>
    </row>
    <row r="74" spans="1:4" x14ac:dyDescent="0.25">
      <c r="A74" s="1">
        <v>45574</v>
      </c>
      <c r="B74">
        <v>7.75</v>
      </c>
      <c r="C74" s="16">
        <f t="shared" si="2"/>
        <v>0.57499999999999996</v>
      </c>
      <c r="D74" s="15">
        <f t="shared" si="3"/>
        <v>7.4193548387096769E-2</v>
      </c>
    </row>
    <row r="75" spans="1:4" x14ac:dyDescent="0.25">
      <c r="A75" s="1">
        <v>45575</v>
      </c>
      <c r="B75">
        <v>7.7</v>
      </c>
      <c r="C75" s="16">
        <f t="shared" si="2"/>
        <v>0.57499999999999996</v>
      </c>
      <c r="D75" s="15">
        <f t="shared" si="3"/>
        <v>7.4675324675324672E-2</v>
      </c>
    </row>
    <row r="76" spans="1:4" x14ac:dyDescent="0.25">
      <c r="A76" s="1">
        <v>45576</v>
      </c>
      <c r="B76">
        <v>7.71</v>
      </c>
      <c r="C76" s="16">
        <f t="shared" si="2"/>
        <v>0.57499999999999996</v>
      </c>
      <c r="D76" s="15">
        <f t="shared" si="3"/>
        <v>7.457846952010376E-2</v>
      </c>
    </row>
    <row r="77" spans="1:4" x14ac:dyDescent="0.25">
      <c r="A77" s="1">
        <v>45579</v>
      </c>
      <c r="B77">
        <v>7.62</v>
      </c>
      <c r="C77" s="16">
        <f t="shared" si="2"/>
        <v>0.57499999999999996</v>
      </c>
      <c r="D77" s="15">
        <f t="shared" si="3"/>
        <v>7.5459317585301833E-2</v>
      </c>
    </row>
    <row r="78" spans="1:4" x14ac:dyDescent="0.25">
      <c r="A78" s="1">
        <v>45580</v>
      </c>
      <c r="B78">
        <v>8.0299999999999994</v>
      </c>
      <c r="C78" s="16">
        <f t="shared" si="2"/>
        <v>0.57499999999999996</v>
      </c>
      <c r="D78" s="15">
        <f t="shared" si="3"/>
        <v>7.1606475716064752E-2</v>
      </c>
    </row>
    <row r="79" spans="1:4" x14ac:dyDescent="0.25">
      <c r="A79" s="1">
        <v>45581</v>
      </c>
      <c r="B79">
        <v>8.1199999999999992</v>
      </c>
      <c r="C79" s="16">
        <f t="shared" si="2"/>
        <v>0.57499999999999996</v>
      </c>
      <c r="D79" s="15">
        <f t="shared" si="3"/>
        <v>7.0812807881773396E-2</v>
      </c>
    </row>
    <row r="80" spans="1:4" x14ac:dyDescent="0.25">
      <c r="A80" s="1">
        <v>45582</v>
      </c>
      <c r="B80">
        <v>8.09</v>
      </c>
      <c r="C80" s="16">
        <f t="shared" si="2"/>
        <v>0.57499999999999996</v>
      </c>
      <c r="D80" s="15">
        <f t="shared" si="3"/>
        <v>7.1075401730531521E-2</v>
      </c>
    </row>
    <row r="81" spans="1:4" x14ac:dyDescent="0.25">
      <c r="A81" s="1">
        <v>45583</v>
      </c>
      <c r="B81">
        <v>8.16</v>
      </c>
      <c r="C81" s="16">
        <f t="shared" si="2"/>
        <v>0.57499999999999996</v>
      </c>
      <c r="D81" s="15">
        <f t="shared" si="3"/>
        <v>7.0465686274509803E-2</v>
      </c>
    </row>
    <row r="82" spans="1:4" x14ac:dyDescent="0.25">
      <c r="A82" s="1">
        <v>45586</v>
      </c>
      <c r="B82">
        <v>8.25</v>
      </c>
      <c r="C82" s="16">
        <f t="shared" si="2"/>
        <v>0.57499999999999996</v>
      </c>
      <c r="D82" s="15">
        <f t="shared" si="3"/>
        <v>6.9696969696969688E-2</v>
      </c>
    </row>
    <row r="83" spans="1:4" x14ac:dyDescent="0.25">
      <c r="A83" s="1">
        <v>45587</v>
      </c>
      <c r="B83">
        <v>8.25</v>
      </c>
      <c r="C83" s="16">
        <f t="shared" si="2"/>
        <v>0.57499999999999996</v>
      </c>
      <c r="D83" s="15">
        <f t="shared" si="3"/>
        <v>6.9696969696969688E-2</v>
      </c>
    </row>
    <row r="84" spans="1:4" x14ac:dyDescent="0.25">
      <c r="A84" s="1">
        <v>45588</v>
      </c>
      <c r="B84">
        <v>8.2100000000000009</v>
      </c>
      <c r="C84" s="16">
        <f t="shared" si="2"/>
        <v>0.57499999999999996</v>
      </c>
      <c r="D84" s="15">
        <f t="shared" si="3"/>
        <v>7.0036540803897679E-2</v>
      </c>
    </row>
    <row r="85" spans="1:4" x14ac:dyDescent="0.25">
      <c r="A85" s="1">
        <v>45589</v>
      </c>
      <c r="B85">
        <v>7.96</v>
      </c>
      <c r="C85" s="16">
        <f t="shared" si="2"/>
        <v>0.57499999999999996</v>
      </c>
      <c r="D85" s="15">
        <f t="shared" si="3"/>
        <v>7.2236180904522607E-2</v>
      </c>
    </row>
    <row r="86" spans="1:4" x14ac:dyDescent="0.25">
      <c r="A86" s="1">
        <v>45590</v>
      </c>
      <c r="B86">
        <v>7.98</v>
      </c>
      <c r="C86" s="16">
        <f t="shared" si="2"/>
        <v>0.57499999999999996</v>
      </c>
      <c r="D86" s="15">
        <f t="shared" si="3"/>
        <v>7.2055137844611525E-2</v>
      </c>
    </row>
    <row r="87" spans="1:4" x14ac:dyDescent="0.25">
      <c r="A87" s="1">
        <v>45593</v>
      </c>
      <c r="B87">
        <v>8.19</v>
      </c>
      <c r="C87" s="16">
        <f t="shared" si="2"/>
        <v>0.57499999999999996</v>
      </c>
      <c r="D87" s="15">
        <f t="shared" si="3"/>
        <v>7.0207570207570208E-2</v>
      </c>
    </row>
    <row r="88" spans="1:4" x14ac:dyDescent="0.25">
      <c r="A88" s="1">
        <v>45594</v>
      </c>
      <c r="B88">
        <v>8.33</v>
      </c>
      <c r="C88" s="16">
        <f t="shared" si="2"/>
        <v>0.57499999999999996</v>
      </c>
      <c r="D88" s="15">
        <f t="shared" si="3"/>
        <v>6.9027611044417764E-2</v>
      </c>
    </row>
    <row r="89" spans="1:4" x14ac:dyDescent="0.25">
      <c r="A89" s="1">
        <v>45595</v>
      </c>
      <c r="B89">
        <v>7.99</v>
      </c>
      <c r="C89" s="16">
        <f t="shared" si="2"/>
        <v>0.57499999999999996</v>
      </c>
      <c r="D89" s="15">
        <f t="shared" si="3"/>
        <v>7.1964956195244054E-2</v>
      </c>
    </row>
    <row r="90" spans="1:4" x14ac:dyDescent="0.25">
      <c r="A90" s="1">
        <v>45596</v>
      </c>
      <c r="B90">
        <v>7.88</v>
      </c>
      <c r="C90" s="16">
        <f t="shared" si="2"/>
        <v>0.57499999999999996</v>
      </c>
      <c r="D90" s="15">
        <f t="shared" si="3"/>
        <v>7.2969543147208119E-2</v>
      </c>
    </row>
    <row r="91" spans="1:4" x14ac:dyDescent="0.25">
      <c r="A91" s="1">
        <v>45597</v>
      </c>
      <c r="B91">
        <v>7.8</v>
      </c>
      <c r="C91" s="16">
        <f t="shared" si="2"/>
        <v>0.57499999999999996</v>
      </c>
      <c r="D91" s="15">
        <f t="shared" si="3"/>
        <v>7.371794871794872E-2</v>
      </c>
    </row>
    <row r="92" spans="1:4" x14ac:dyDescent="0.25">
      <c r="A92" s="1">
        <v>45600</v>
      </c>
      <c r="B92">
        <v>7.65</v>
      </c>
      <c r="C92" s="16">
        <f t="shared" si="2"/>
        <v>0.57499999999999996</v>
      </c>
      <c r="D92" s="15">
        <f t="shared" si="3"/>
        <v>7.5163398692810454E-2</v>
      </c>
    </row>
    <row r="93" spans="1:4" x14ac:dyDescent="0.25">
      <c r="A93" s="1">
        <v>45601</v>
      </c>
      <c r="B93">
        <v>7.64</v>
      </c>
      <c r="C93" s="16">
        <f t="shared" si="2"/>
        <v>0.57499999999999996</v>
      </c>
      <c r="D93" s="15">
        <f t="shared" si="3"/>
        <v>7.5261780104712045E-2</v>
      </c>
    </row>
    <row r="94" spans="1:4" x14ac:dyDescent="0.25">
      <c r="A94" s="1">
        <v>45602</v>
      </c>
      <c r="B94">
        <v>7.68</v>
      </c>
      <c r="C94" s="16">
        <f t="shared" si="2"/>
        <v>0.57499999999999996</v>
      </c>
      <c r="D94" s="15">
        <f t="shared" si="3"/>
        <v>7.4869791666666657E-2</v>
      </c>
    </row>
    <row r="95" spans="1:4" x14ac:dyDescent="0.25">
      <c r="A95" s="1">
        <v>45603</v>
      </c>
      <c r="B95">
        <v>7.61</v>
      </c>
      <c r="C95" s="16">
        <f t="shared" si="2"/>
        <v>0.57499999999999996</v>
      </c>
      <c r="D95" s="15">
        <f t="shared" si="3"/>
        <v>7.5558475689881721E-2</v>
      </c>
    </row>
    <row r="96" spans="1:4" x14ac:dyDescent="0.25">
      <c r="A96" s="1">
        <v>45604</v>
      </c>
      <c r="B96">
        <v>7.73</v>
      </c>
      <c r="C96" s="16">
        <f t="shared" si="2"/>
        <v>0.57499999999999996</v>
      </c>
      <c r="D96" s="15">
        <f t="shared" si="3"/>
        <v>7.4385510996119009E-2</v>
      </c>
    </row>
    <row r="97" spans="1:4" x14ac:dyDescent="0.25">
      <c r="A97" s="1">
        <v>45607</v>
      </c>
      <c r="B97">
        <v>7.73</v>
      </c>
      <c r="C97" s="16">
        <f t="shared" si="2"/>
        <v>0.57499999999999996</v>
      </c>
      <c r="D97" s="15">
        <f t="shared" si="3"/>
        <v>7.4385510996119009E-2</v>
      </c>
    </row>
    <row r="98" spans="1:4" x14ac:dyDescent="0.25">
      <c r="A98" s="1">
        <v>45608</v>
      </c>
      <c r="B98">
        <v>7.83</v>
      </c>
      <c r="C98" s="16">
        <f t="shared" si="2"/>
        <v>0.57499999999999996</v>
      </c>
      <c r="D98" s="15">
        <f t="shared" si="3"/>
        <v>7.3435504469987228E-2</v>
      </c>
    </row>
    <row r="99" spans="1:4" x14ac:dyDescent="0.25">
      <c r="A99" s="1">
        <v>45609</v>
      </c>
      <c r="B99">
        <v>7.78</v>
      </c>
      <c r="C99" s="16">
        <f t="shared" si="2"/>
        <v>0.57499999999999996</v>
      </c>
      <c r="D99" s="15">
        <f t="shared" si="3"/>
        <v>7.3907455012853465E-2</v>
      </c>
    </row>
    <row r="100" spans="1:4" x14ac:dyDescent="0.25">
      <c r="A100" s="1">
        <v>45610</v>
      </c>
      <c r="B100">
        <v>7.75</v>
      </c>
      <c r="C100" s="16">
        <f t="shared" si="2"/>
        <v>0.57499999999999996</v>
      </c>
      <c r="D100" s="15">
        <f t="shared" si="3"/>
        <v>7.4193548387096769E-2</v>
      </c>
    </row>
    <row r="101" spans="1:4" x14ac:dyDescent="0.25">
      <c r="A101" s="1">
        <v>45611</v>
      </c>
      <c r="B101">
        <v>7.92</v>
      </c>
      <c r="C101" s="16">
        <f t="shared" si="2"/>
        <v>0.57499999999999996</v>
      </c>
      <c r="D101" s="15">
        <f t="shared" si="3"/>
        <v>7.2601010101010097E-2</v>
      </c>
    </row>
    <row r="102" spans="1:4" x14ac:dyDescent="0.25">
      <c r="A102" s="1">
        <v>45614</v>
      </c>
      <c r="B102">
        <v>7.91</v>
      </c>
      <c r="C102" s="16">
        <f t="shared" si="2"/>
        <v>0.57499999999999996</v>
      </c>
      <c r="D102" s="15">
        <f t="shared" si="3"/>
        <v>7.2692793931731975E-2</v>
      </c>
    </row>
    <row r="103" spans="1:4" x14ac:dyDescent="0.25">
      <c r="A103" s="1">
        <v>45615</v>
      </c>
      <c r="B103">
        <v>8.01</v>
      </c>
      <c r="C103" s="16">
        <f t="shared" si="2"/>
        <v>0.57499999999999996</v>
      </c>
      <c r="D103" s="15">
        <f t="shared" si="3"/>
        <v>7.1785268414481893E-2</v>
      </c>
    </row>
    <row r="104" spans="1:4" x14ac:dyDescent="0.25">
      <c r="A104" s="1">
        <v>45616</v>
      </c>
      <c r="B104">
        <v>7.77</v>
      </c>
      <c r="C104" s="16">
        <f t="shared" si="2"/>
        <v>0.57499999999999996</v>
      </c>
      <c r="D104" s="15">
        <f t="shared" si="3"/>
        <v>7.4002574002573998E-2</v>
      </c>
    </row>
    <row r="105" spans="1:4" x14ac:dyDescent="0.25">
      <c r="A105" s="1">
        <v>45617</v>
      </c>
      <c r="B105">
        <v>7.46</v>
      </c>
      <c r="C105" s="16">
        <f t="shared" si="2"/>
        <v>0.57499999999999996</v>
      </c>
      <c r="D105" s="15">
        <f t="shared" si="3"/>
        <v>7.7077747989276135E-2</v>
      </c>
    </row>
    <row r="106" spans="1:4" x14ac:dyDescent="0.25">
      <c r="A106" s="1">
        <v>45618</v>
      </c>
      <c r="B106">
        <v>7.44</v>
      </c>
      <c r="C106" s="16">
        <f t="shared" si="2"/>
        <v>0.57499999999999996</v>
      </c>
      <c r="D106" s="15">
        <f t="shared" si="3"/>
        <v>7.7284946236559127E-2</v>
      </c>
    </row>
    <row r="107" spans="1:4" x14ac:dyDescent="0.25">
      <c r="A107" s="1">
        <v>45621</v>
      </c>
      <c r="B107">
        <v>7.46</v>
      </c>
      <c r="C107" s="16">
        <f t="shared" si="2"/>
        <v>0.57499999999999996</v>
      </c>
      <c r="D107" s="15">
        <f t="shared" si="3"/>
        <v>7.7077747989276135E-2</v>
      </c>
    </row>
    <row r="108" spans="1:4" x14ac:dyDescent="0.25">
      <c r="A108" s="1">
        <v>45622</v>
      </c>
      <c r="B108">
        <v>7.66</v>
      </c>
      <c r="C108" s="16">
        <f t="shared" si="2"/>
        <v>0.57499999999999996</v>
      </c>
      <c r="D108" s="15">
        <f t="shared" si="3"/>
        <v>7.5065274151436018E-2</v>
      </c>
    </row>
    <row r="109" spans="1:4" x14ac:dyDescent="0.25">
      <c r="A109" s="1">
        <v>45623</v>
      </c>
      <c r="B109">
        <v>7.66</v>
      </c>
      <c r="C109" s="16">
        <f t="shared" si="2"/>
        <v>0.57499999999999996</v>
      </c>
      <c r="D109" s="15">
        <f t="shared" si="3"/>
        <v>7.5065274151436018E-2</v>
      </c>
    </row>
    <row r="110" spans="1:4" x14ac:dyDescent="0.25">
      <c r="A110" s="1">
        <v>45624</v>
      </c>
      <c r="B110">
        <v>7.55</v>
      </c>
      <c r="C110" s="16">
        <f t="shared" si="2"/>
        <v>0.57499999999999996</v>
      </c>
      <c r="D110" s="15">
        <f t="shared" si="3"/>
        <v>7.6158940397350994E-2</v>
      </c>
    </row>
    <row r="111" spans="1:4" x14ac:dyDescent="0.25">
      <c r="A111" s="1">
        <v>45625</v>
      </c>
      <c r="B111">
        <v>7.8</v>
      </c>
      <c r="C111" s="16">
        <f t="shared" si="2"/>
        <v>0.57499999999999996</v>
      </c>
      <c r="D111" s="15">
        <f t="shared" si="3"/>
        <v>7.371794871794872E-2</v>
      </c>
    </row>
    <row r="112" spans="1:4" x14ac:dyDescent="0.25">
      <c r="A112" s="1">
        <v>45628</v>
      </c>
      <c r="B112">
        <v>7.66</v>
      </c>
      <c r="C112" s="16">
        <f t="shared" si="2"/>
        <v>0.57499999999999996</v>
      </c>
      <c r="D112" s="15">
        <f t="shared" si="3"/>
        <v>7.5065274151436018E-2</v>
      </c>
    </row>
    <row r="113" spans="1:4" x14ac:dyDescent="0.25">
      <c r="A113" s="1">
        <v>45629</v>
      </c>
      <c r="B113">
        <v>7.9</v>
      </c>
      <c r="C113" s="16">
        <f t="shared" si="2"/>
        <v>0.57499999999999996</v>
      </c>
      <c r="D113" s="15">
        <f t="shared" si="3"/>
        <v>7.2784810126582264E-2</v>
      </c>
    </row>
    <row r="114" spans="1:4" x14ac:dyDescent="0.25">
      <c r="A114" s="1">
        <v>45630</v>
      </c>
      <c r="B114">
        <v>8.08</v>
      </c>
      <c r="C114" s="16">
        <f t="shared" si="2"/>
        <v>0.57499999999999996</v>
      </c>
      <c r="D114" s="15">
        <f t="shared" si="3"/>
        <v>7.1163366336633657E-2</v>
      </c>
    </row>
    <row r="115" spans="1:4" x14ac:dyDescent="0.25">
      <c r="A115" s="1">
        <v>45631</v>
      </c>
      <c r="B115">
        <v>8.14</v>
      </c>
      <c r="C115" s="16">
        <f t="shared" si="2"/>
        <v>0.57499999999999996</v>
      </c>
      <c r="D115" s="15">
        <f t="shared" si="3"/>
        <v>7.0638820638820626E-2</v>
      </c>
    </row>
    <row r="116" spans="1:4" x14ac:dyDescent="0.25">
      <c r="A116" s="1">
        <v>45632</v>
      </c>
      <c r="B116">
        <v>8.06</v>
      </c>
      <c r="C116" s="16">
        <f t="shared" si="2"/>
        <v>0.57499999999999996</v>
      </c>
      <c r="D116" s="15">
        <f t="shared" si="3"/>
        <v>7.133995037220843E-2</v>
      </c>
    </row>
    <row r="117" spans="1:4" x14ac:dyDescent="0.25">
      <c r="A117" s="1">
        <v>45635</v>
      </c>
      <c r="B117">
        <v>8</v>
      </c>
      <c r="C117" s="16">
        <f t="shared" si="2"/>
        <v>0.57499999999999996</v>
      </c>
      <c r="D117" s="15">
        <f t="shared" si="3"/>
        <v>7.1874999999999994E-2</v>
      </c>
    </row>
    <row r="118" spans="1:4" x14ac:dyDescent="0.25">
      <c r="A118" s="1">
        <v>45636</v>
      </c>
      <c r="B118">
        <v>7.82</v>
      </c>
      <c r="C118" s="16">
        <f t="shared" si="2"/>
        <v>0.57499999999999996</v>
      </c>
      <c r="D118" s="15">
        <f t="shared" si="3"/>
        <v>7.3529411764705871E-2</v>
      </c>
    </row>
    <row r="119" spans="1:4" x14ac:dyDescent="0.25">
      <c r="A119" s="1">
        <v>45637</v>
      </c>
      <c r="B119">
        <v>7.74</v>
      </c>
      <c r="C119" s="16">
        <f t="shared" si="2"/>
        <v>0.57499999999999996</v>
      </c>
      <c r="D119" s="15">
        <f t="shared" si="3"/>
        <v>7.428940568475452E-2</v>
      </c>
    </row>
    <row r="120" spans="1:4" x14ac:dyDescent="0.25">
      <c r="A120" s="1">
        <v>45638</v>
      </c>
      <c r="B120">
        <v>7.79</v>
      </c>
      <c r="C120" s="16">
        <f t="shared" si="2"/>
        <v>0.57499999999999996</v>
      </c>
      <c r="D120" s="15">
        <f t="shared" si="3"/>
        <v>7.3812580231065461E-2</v>
      </c>
    </row>
    <row r="121" spans="1:4" x14ac:dyDescent="0.25">
      <c r="A121" s="1">
        <v>45639</v>
      </c>
      <c r="B121">
        <v>7.73</v>
      </c>
      <c r="C121" s="16">
        <f t="shared" si="2"/>
        <v>0.57499999999999996</v>
      </c>
      <c r="D121" s="15">
        <f t="shared" si="3"/>
        <v>7.4385510996119009E-2</v>
      </c>
    </row>
    <row r="122" spans="1:4" x14ac:dyDescent="0.25">
      <c r="A122" s="1">
        <v>45642</v>
      </c>
      <c r="B122">
        <v>7.78</v>
      </c>
      <c r="C122" s="16">
        <f t="shared" si="2"/>
        <v>0.57499999999999996</v>
      </c>
      <c r="D122" s="15">
        <f t="shared" si="3"/>
        <v>7.3907455012853465E-2</v>
      </c>
    </row>
    <row r="123" spans="1:4" x14ac:dyDescent="0.25">
      <c r="A123" s="1">
        <v>45643</v>
      </c>
      <c r="B123">
        <v>8.02</v>
      </c>
      <c r="C123" s="16">
        <f t="shared" si="2"/>
        <v>0.57499999999999996</v>
      </c>
      <c r="D123" s="15">
        <f t="shared" si="3"/>
        <v>7.1695760598503744E-2</v>
      </c>
    </row>
    <row r="124" spans="1:4" x14ac:dyDescent="0.25">
      <c r="A124" s="1">
        <v>45644</v>
      </c>
      <c r="B124">
        <v>8.0399999999999991</v>
      </c>
      <c r="C124" s="16">
        <f t="shared" si="2"/>
        <v>0.57499999999999996</v>
      </c>
      <c r="D124" s="15">
        <f t="shared" si="3"/>
        <v>7.1517412935323391E-2</v>
      </c>
    </row>
    <row r="125" spans="1:4" x14ac:dyDescent="0.25">
      <c r="A125" s="1">
        <v>45645</v>
      </c>
      <c r="B125">
        <v>7.94</v>
      </c>
      <c r="C125" s="16">
        <f t="shared" si="2"/>
        <v>0.57499999999999996</v>
      </c>
      <c r="D125" s="15">
        <f t="shared" si="3"/>
        <v>7.2418136020151125E-2</v>
      </c>
    </row>
    <row r="126" spans="1:4" x14ac:dyDescent="0.25">
      <c r="A126" s="1">
        <v>45646</v>
      </c>
      <c r="B126">
        <v>7.97</v>
      </c>
      <c r="C126" s="16">
        <f t="shared" si="2"/>
        <v>0.57499999999999996</v>
      </c>
      <c r="D126" s="15">
        <f t="shared" si="3"/>
        <v>7.2145545796737764E-2</v>
      </c>
    </row>
    <row r="127" spans="1:4" x14ac:dyDescent="0.25">
      <c r="A127" s="1">
        <v>45649</v>
      </c>
      <c r="B127">
        <v>8.02</v>
      </c>
      <c r="C127" s="16">
        <f t="shared" si="2"/>
        <v>0.57499999999999996</v>
      </c>
      <c r="D127" s="15">
        <f t="shared" si="3"/>
        <v>7.1695760598503744E-2</v>
      </c>
    </row>
    <row r="128" spans="1:4" x14ac:dyDescent="0.25">
      <c r="A128" s="1">
        <v>45650</v>
      </c>
      <c r="B128">
        <v>8.14</v>
      </c>
      <c r="C128" s="16">
        <f t="shared" si="2"/>
        <v>0.57499999999999996</v>
      </c>
      <c r="D128" s="15">
        <f t="shared" si="3"/>
        <v>7.0638820638820626E-2</v>
      </c>
    </row>
    <row r="129" spans="1:4" x14ac:dyDescent="0.25">
      <c r="A129" s="1">
        <v>45653</v>
      </c>
      <c r="B129">
        <v>8.39</v>
      </c>
      <c r="C129" s="16">
        <f t="shared" si="2"/>
        <v>0.57499999999999996</v>
      </c>
      <c r="D129" s="15">
        <f t="shared" si="3"/>
        <v>6.8533969010727044E-2</v>
      </c>
    </row>
    <row r="130" spans="1:4" x14ac:dyDescent="0.25">
      <c r="A130" s="1">
        <v>45656</v>
      </c>
      <c r="B130">
        <v>8.31</v>
      </c>
      <c r="C130" s="16">
        <f t="shared" si="2"/>
        <v>0.57499999999999996</v>
      </c>
      <c r="D130" s="15">
        <f t="shared" si="3"/>
        <v>6.9193742478941028E-2</v>
      </c>
    </row>
    <row r="131" spans="1:4" x14ac:dyDescent="0.25">
      <c r="A131" s="1">
        <v>45657</v>
      </c>
      <c r="B131">
        <v>8.58</v>
      </c>
      <c r="C131" s="16">
        <f t="shared" ref="C131:C194" si="4">(22+19+16.5)/100</f>
        <v>0.57499999999999996</v>
      </c>
      <c r="D131" s="15">
        <f t="shared" ref="D131:D194" si="5">$C$2/B131</f>
        <v>6.7016317016317009E-2</v>
      </c>
    </row>
    <row r="132" spans="1:4" x14ac:dyDescent="0.25">
      <c r="A132" s="1">
        <v>45659</v>
      </c>
      <c r="B132">
        <v>8.1</v>
      </c>
      <c r="C132" s="16">
        <f t="shared" si="4"/>
        <v>0.57499999999999996</v>
      </c>
      <c r="D132" s="15">
        <f t="shared" si="5"/>
        <v>7.098765432098765E-2</v>
      </c>
    </row>
    <row r="133" spans="1:4" x14ac:dyDescent="0.25">
      <c r="A133" s="1">
        <v>45660</v>
      </c>
      <c r="B133">
        <v>8.18</v>
      </c>
      <c r="C133" s="16">
        <f t="shared" si="4"/>
        <v>0.57499999999999996</v>
      </c>
      <c r="D133" s="15">
        <f t="shared" si="5"/>
        <v>7.0293398533007326E-2</v>
      </c>
    </row>
    <row r="134" spans="1:4" x14ac:dyDescent="0.25">
      <c r="A134" s="1">
        <v>45663</v>
      </c>
      <c r="B134">
        <v>8.25</v>
      </c>
      <c r="C134" s="16">
        <f t="shared" si="4"/>
        <v>0.57499999999999996</v>
      </c>
      <c r="D134" s="15">
        <f t="shared" si="5"/>
        <v>6.9696969696969688E-2</v>
      </c>
    </row>
    <row r="135" spans="1:4" x14ac:dyDescent="0.25">
      <c r="A135" s="1">
        <v>45664</v>
      </c>
      <c r="B135">
        <v>8.44</v>
      </c>
      <c r="C135" s="16">
        <f t="shared" si="4"/>
        <v>0.57499999999999996</v>
      </c>
      <c r="D135" s="15">
        <f t="shared" si="5"/>
        <v>6.8127962085308053E-2</v>
      </c>
    </row>
    <row r="136" spans="1:4" x14ac:dyDescent="0.25">
      <c r="A136" s="1">
        <v>45665</v>
      </c>
      <c r="B136">
        <v>8.3800000000000008</v>
      </c>
      <c r="C136" s="16">
        <f t="shared" si="4"/>
        <v>0.57499999999999996</v>
      </c>
      <c r="D136" s="15">
        <f t="shared" si="5"/>
        <v>6.8615751789976129E-2</v>
      </c>
    </row>
    <row r="137" spans="1:4" x14ac:dyDescent="0.25">
      <c r="A137" s="1">
        <v>45666</v>
      </c>
      <c r="B137">
        <v>8.43</v>
      </c>
      <c r="C137" s="16">
        <f t="shared" si="4"/>
        <v>0.57499999999999996</v>
      </c>
      <c r="D137" s="15">
        <f t="shared" si="5"/>
        <v>6.8208778173190987E-2</v>
      </c>
    </row>
    <row r="138" spans="1:4" x14ac:dyDescent="0.25">
      <c r="A138" s="1">
        <v>45667</v>
      </c>
      <c r="B138">
        <v>8.4</v>
      </c>
      <c r="C138" s="16">
        <f t="shared" si="4"/>
        <v>0.57499999999999996</v>
      </c>
      <c r="D138" s="15">
        <f t="shared" si="5"/>
        <v>6.8452380952380945E-2</v>
      </c>
    </row>
    <row r="139" spans="1:4" x14ac:dyDescent="0.25">
      <c r="A139" s="1">
        <v>45670</v>
      </c>
      <c r="B139">
        <v>8.11</v>
      </c>
      <c r="C139" s="16">
        <f t="shared" si="4"/>
        <v>0.57499999999999996</v>
      </c>
      <c r="D139" s="15">
        <f t="shared" si="5"/>
        <v>7.0900123304562274E-2</v>
      </c>
    </row>
    <row r="140" spans="1:4" x14ac:dyDescent="0.25">
      <c r="A140" s="1">
        <v>45671</v>
      </c>
      <c r="B140">
        <v>8.0299999999999994</v>
      </c>
      <c r="C140" s="16">
        <f t="shared" si="4"/>
        <v>0.57499999999999996</v>
      </c>
      <c r="D140" s="15">
        <f t="shared" si="5"/>
        <v>7.1606475716064752E-2</v>
      </c>
    </row>
    <row r="141" spans="1:4" x14ac:dyDescent="0.25">
      <c r="A141" s="1">
        <v>45672</v>
      </c>
      <c r="B141">
        <v>7.8</v>
      </c>
      <c r="C141" s="16">
        <f t="shared" si="4"/>
        <v>0.57499999999999996</v>
      </c>
      <c r="D141" s="15">
        <f t="shared" si="5"/>
        <v>7.371794871794872E-2</v>
      </c>
    </row>
    <row r="142" spans="1:4" x14ac:dyDescent="0.25">
      <c r="A142" s="1">
        <v>45673</v>
      </c>
      <c r="B142">
        <v>7.76</v>
      </c>
      <c r="C142" s="16">
        <f t="shared" si="4"/>
        <v>0.57499999999999996</v>
      </c>
      <c r="D142" s="15">
        <f t="shared" si="5"/>
        <v>7.4097938144329897E-2</v>
      </c>
    </row>
    <row r="143" spans="1:4" x14ac:dyDescent="0.25">
      <c r="A143" s="1">
        <v>45674</v>
      </c>
      <c r="B143">
        <v>7.72</v>
      </c>
      <c r="C143" s="16">
        <f t="shared" si="4"/>
        <v>0.57499999999999996</v>
      </c>
      <c r="D143" s="15">
        <f t="shared" si="5"/>
        <v>7.4481865284974094E-2</v>
      </c>
    </row>
    <row r="144" spans="1:4" x14ac:dyDescent="0.25">
      <c r="A144" s="1">
        <v>45677</v>
      </c>
      <c r="B144">
        <v>7.91</v>
      </c>
      <c r="C144" s="16">
        <f t="shared" si="4"/>
        <v>0.57499999999999996</v>
      </c>
      <c r="D144" s="15">
        <f t="shared" si="5"/>
        <v>7.2692793931731975E-2</v>
      </c>
    </row>
    <row r="145" spans="1:4" x14ac:dyDescent="0.25">
      <c r="A145" s="1">
        <v>45678</v>
      </c>
      <c r="B145">
        <v>8.1</v>
      </c>
      <c r="C145" s="16">
        <f t="shared" si="4"/>
        <v>0.57499999999999996</v>
      </c>
      <c r="D145" s="15">
        <f t="shared" si="5"/>
        <v>7.098765432098765E-2</v>
      </c>
    </row>
    <row r="146" spans="1:4" x14ac:dyDescent="0.25">
      <c r="A146" s="1">
        <v>45679</v>
      </c>
      <c r="B146">
        <v>8.27</v>
      </c>
      <c r="C146" s="16">
        <f t="shared" si="4"/>
        <v>0.57499999999999996</v>
      </c>
      <c r="D146" s="15">
        <f t="shared" si="5"/>
        <v>6.952841596130592E-2</v>
      </c>
    </row>
    <row r="147" spans="1:4" x14ac:dyDescent="0.25">
      <c r="A147" s="1">
        <v>45680</v>
      </c>
      <c r="B147">
        <v>8.1</v>
      </c>
      <c r="C147" s="16">
        <f t="shared" si="4"/>
        <v>0.57499999999999996</v>
      </c>
      <c r="D147" s="15">
        <f t="shared" si="5"/>
        <v>7.098765432098765E-2</v>
      </c>
    </row>
    <row r="148" spans="1:4" x14ac:dyDescent="0.25">
      <c r="A148" s="1">
        <v>45681</v>
      </c>
      <c r="B148">
        <v>8.4</v>
      </c>
      <c r="C148" s="16">
        <f t="shared" si="4"/>
        <v>0.57499999999999996</v>
      </c>
      <c r="D148" s="15">
        <f t="shared" si="5"/>
        <v>6.8452380952380945E-2</v>
      </c>
    </row>
    <row r="149" spans="1:4" x14ac:dyDescent="0.25">
      <c r="A149" s="1">
        <v>45685</v>
      </c>
      <c r="B149">
        <v>8.39</v>
      </c>
      <c r="C149" s="16">
        <f t="shared" si="4"/>
        <v>0.57499999999999996</v>
      </c>
      <c r="D149" s="15">
        <f t="shared" si="5"/>
        <v>6.8533969010727044E-2</v>
      </c>
    </row>
    <row r="150" spans="1:4" x14ac:dyDescent="0.25">
      <c r="A150" s="1">
        <v>45686</v>
      </c>
      <c r="B150">
        <v>8.4499999999999993</v>
      </c>
      <c r="C150" s="16">
        <f t="shared" si="4"/>
        <v>0.57499999999999996</v>
      </c>
      <c r="D150" s="15">
        <f t="shared" si="5"/>
        <v>6.8047337278106509E-2</v>
      </c>
    </row>
    <row r="151" spans="1:4" x14ac:dyDescent="0.25">
      <c r="A151" s="1">
        <v>45687</v>
      </c>
      <c r="B151">
        <v>8.4</v>
      </c>
      <c r="C151" s="16">
        <f t="shared" si="4"/>
        <v>0.57499999999999996</v>
      </c>
      <c r="D151" s="15">
        <f t="shared" si="5"/>
        <v>6.8452380952380945E-2</v>
      </c>
    </row>
    <row r="152" spans="1:4" x14ac:dyDescent="0.25">
      <c r="A152" s="1">
        <v>45688</v>
      </c>
      <c r="B152">
        <v>8.52</v>
      </c>
      <c r="C152" s="16">
        <f t="shared" si="4"/>
        <v>0.57499999999999996</v>
      </c>
      <c r="D152" s="15">
        <f t="shared" si="5"/>
        <v>6.7488262910798125E-2</v>
      </c>
    </row>
    <row r="153" spans="1:4" x14ac:dyDescent="0.25">
      <c r="A153" s="1">
        <v>45691</v>
      </c>
      <c r="B153">
        <v>8.17</v>
      </c>
      <c r="C153" s="16">
        <f t="shared" si="4"/>
        <v>0.57499999999999996</v>
      </c>
      <c r="D153" s="15">
        <f t="shared" si="5"/>
        <v>7.0379436964504286E-2</v>
      </c>
    </row>
    <row r="154" spans="1:4" x14ac:dyDescent="0.25">
      <c r="A154" s="1">
        <v>45692</v>
      </c>
      <c r="B154">
        <v>8.11</v>
      </c>
      <c r="C154" s="16">
        <f t="shared" si="4"/>
        <v>0.57499999999999996</v>
      </c>
      <c r="D154" s="15">
        <f t="shared" si="5"/>
        <v>7.0900123304562274E-2</v>
      </c>
    </row>
    <row r="155" spans="1:4" x14ac:dyDescent="0.25">
      <c r="A155" s="1">
        <v>45693</v>
      </c>
      <c r="B155">
        <v>8.09</v>
      </c>
      <c r="C155" s="16">
        <f t="shared" si="4"/>
        <v>0.57499999999999996</v>
      </c>
      <c r="D155" s="15">
        <f t="shared" si="5"/>
        <v>7.1075401730531521E-2</v>
      </c>
    </row>
    <row r="156" spans="1:4" x14ac:dyDescent="0.25">
      <c r="A156" s="1">
        <v>45694</v>
      </c>
      <c r="B156">
        <v>8.3000000000000007</v>
      </c>
      <c r="C156" s="16">
        <f t="shared" si="4"/>
        <v>0.57499999999999996</v>
      </c>
      <c r="D156" s="15">
        <f t="shared" si="5"/>
        <v>6.9277108433734927E-2</v>
      </c>
    </row>
    <row r="157" spans="1:4" x14ac:dyDescent="0.25">
      <c r="A157" s="1">
        <v>45695</v>
      </c>
      <c r="B157">
        <v>8.4700000000000006</v>
      </c>
      <c r="C157" s="16">
        <f t="shared" si="4"/>
        <v>0.57499999999999996</v>
      </c>
      <c r="D157" s="15">
        <f t="shared" si="5"/>
        <v>6.7886658795749691E-2</v>
      </c>
    </row>
    <row r="158" spans="1:4" x14ac:dyDescent="0.25">
      <c r="A158" s="1">
        <v>45698</v>
      </c>
      <c r="B158">
        <v>8.19</v>
      </c>
      <c r="C158" s="16">
        <f t="shared" si="4"/>
        <v>0.57499999999999996</v>
      </c>
      <c r="D158" s="15">
        <f t="shared" si="5"/>
        <v>7.0207570207570208E-2</v>
      </c>
    </row>
    <row r="159" spans="1:4" x14ac:dyDescent="0.25">
      <c r="A159" s="1">
        <v>45699</v>
      </c>
      <c r="B159">
        <v>8.19</v>
      </c>
      <c r="C159" s="16">
        <f t="shared" si="4"/>
        <v>0.57499999999999996</v>
      </c>
      <c r="D159" s="15">
        <f t="shared" si="5"/>
        <v>7.0207570207570208E-2</v>
      </c>
    </row>
    <row r="160" spans="1:4" x14ac:dyDescent="0.25">
      <c r="A160" s="1">
        <v>45700</v>
      </c>
      <c r="B160">
        <v>8.16</v>
      </c>
      <c r="C160" s="16">
        <f t="shared" si="4"/>
        <v>0.57499999999999996</v>
      </c>
      <c r="D160" s="15">
        <f t="shared" si="5"/>
        <v>7.0465686274509803E-2</v>
      </c>
    </row>
    <row r="161" spans="1:4" x14ac:dyDescent="0.25">
      <c r="A161" s="1">
        <v>45701</v>
      </c>
      <c r="B161">
        <v>8.16</v>
      </c>
      <c r="C161" s="16">
        <f t="shared" si="4"/>
        <v>0.57499999999999996</v>
      </c>
      <c r="D161" s="15">
        <f t="shared" si="5"/>
        <v>7.0465686274509803E-2</v>
      </c>
    </row>
    <row r="162" spans="1:4" x14ac:dyDescent="0.25">
      <c r="A162" s="1">
        <v>45702</v>
      </c>
      <c r="B162">
        <v>8.3000000000000007</v>
      </c>
      <c r="C162" s="16">
        <f t="shared" si="4"/>
        <v>0.57499999999999996</v>
      </c>
      <c r="D162" s="15">
        <f t="shared" si="5"/>
        <v>6.9277108433734927E-2</v>
      </c>
    </row>
    <row r="163" spans="1:4" x14ac:dyDescent="0.25">
      <c r="A163" s="1">
        <v>45705</v>
      </c>
      <c r="B163">
        <v>8.4</v>
      </c>
      <c r="C163" s="16">
        <f t="shared" si="4"/>
        <v>0.57499999999999996</v>
      </c>
      <c r="D163" s="15">
        <f t="shared" si="5"/>
        <v>6.8452380952380945E-2</v>
      </c>
    </row>
    <row r="164" spans="1:4" x14ac:dyDescent="0.25">
      <c r="A164" s="1">
        <v>45706</v>
      </c>
      <c r="B164">
        <v>8.43</v>
      </c>
      <c r="C164" s="16">
        <f t="shared" si="4"/>
        <v>0.57499999999999996</v>
      </c>
      <c r="D164" s="15">
        <f t="shared" si="5"/>
        <v>6.8208778173190987E-2</v>
      </c>
    </row>
    <row r="165" spans="1:4" x14ac:dyDescent="0.25">
      <c r="A165" s="1">
        <v>45707</v>
      </c>
      <c r="B165">
        <v>8.48</v>
      </c>
      <c r="C165" s="16">
        <f t="shared" si="4"/>
        <v>0.57499999999999996</v>
      </c>
      <c r="D165" s="15">
        <f t="shared" si="5"/>
        <v>6.7806603773584898E-2</v>
      </c>
    </row>
    <row r="166" spans="1:4" x14ac:dyDescent="0.25">
      <c r="A166" s="1">
        <v>45708</v>
      </c>
      <c r="B166">
        <v>9.3000000000000007</v>
      </c>
      <c r="C166" s="16">
        <f t="shared" si="4"/>
        <v>0.57499999999999996</v>
      </c>
      <c r="D166" s="15">
        <f t="shared" si="5"/>
        <v>6.1827956989247305E-2</v>
      </c>
    </row>
    <row r="167" spans="1:4" x14ac:dyDescent="0.25">
      <c r="A167" s="1">
        <v>45709</v>
      </c>
      <c r="B167">
        <v>9.17</v>
      </c>
      <c r="C167" s="16">
        <f t="shared" si="4"/>
        <v>0.57499999999999996</v>
      </c>
      <c r="D167" s="15">
        <f t="shared" si="5"/>
        <v>6.2704471101417664E-2</v>
      </c>
    </row>
    <row r="168" spans="1:4" x14ac:dyDescent="0.25">
      <c r="A168" s="1">
        <v>45712</v>
      </c>
      <c r="B168">
        <v>8.85</v>
      </c>
      <c r="C168" s="16">
        <f t="shared" si="4"/>
        <v>0.57499999999999996</v>
      </c>
      <c r="D168" s="15">
        <f t="shared" si="5"/>
        <v>6.4971751412429377E-2</v>
      </c>
    </row>
    <row r="169" spans="1:4" x14ac:dyDescent="0.25">
      <c r="A169" s="1">
        <v>45713</v>
      </c>
      <c r="B169">
        <v>8.69</v>
      </c>
      <c r="C169" s="16">
        <f t="shared" si="4"/>
        <v>0.57499999999999996</v>
      </c>
      <c r="D169" s="15">
        <f t="shared" si="5"/>
        <v>6.6168009205983883E-2</v>
      </c>
    </row>
    <row r="170" spans="1:4" x14ac:dyDescent="0.25">
      <c r="A170" s="1">
        <v>45714</v>
      </c>
      <c r="B170">
        <v>8.86</v>
      </c>
      <c r="C170" s="16">
        <f t="shared" si="4"/>
        <v>0.57499999999999996</v>
      </c>
      <c r="D170" s="15">
        <f t="shared" si="5"/>
        <v>6.4898419864559825E-2</v>
      </c>
    </row>
    <row r="171" spans="1:4" x14ac:dyDescent="0.25">
      <c r="A171" s="1">
        <v>45715</v>
      </c>
      <c r="B171">
        <v>8.94</v>
      </c>
      <c r="C171" s="16">
        <f t="shared" si="4"/>
        <v>0.57499999999999996</v>
      </c>
      <c r="D171" s="15">
        <f t="shared" si="5"/>
        <v>6.4317673378076062E-2</v>
      </c>
    </row>
    <row r="172" spans="1:4" x14ac:dyDescent="0.25">
      <c r="A172" s="1">
        <v>45716</v>
      </c>
      <c r="B172">
        <v>8.6999999999999993</v>
      </c>
      <c r="C172" s="16">
        <f t="shared" si="4"/>
        <v>0.57499999999999996</v>
      </c>
      <c r="D172" s="15">
        <f t="shared" si="5"/>
        <v>6.6091954022988508E-2</v>
      </c>
    </row>
    <row r="173" spans="1:4" x14ac:dyDescent="0.25">
      <c r="A173" s="1">
        <v>45719</v>
      </c>
      <c r="B173">
        <v>8.4499999999999993</v>
      </c>
      <c r="C173" s="16">
        <f t="shared" si="4"/>
        <v>0.57499999999999996</v>
      </c>
      <c r="D173" s="15">
        <f t="shared" si="5"/>
        <v>6.8047337278106509E-2</v>
      </c>
    </row>
    <row r="174" spans="1:4" x14ac:dyDescent="0.25">
      <c r="A174" s="1">
        <v>45720</v>
      </c>
      <c r="B174">
        <v>8.36</v>
      </c>
      <c r="C174" s="16">
        <f t="shared" si="4"/>
        <v>0.57499999999999996</v>
      </c>
      <c r="D174" s="15">
        <f t="shared" si="5"/>
        <v>6.8779904306220094E-2</v>
      </c>
    </row>
    <row r="175" spans="1:4" x14ac:dyDescent="0.25">
      <c r="A175" s="1">
        <v>45721</v>
      </c>
      <c r="B175">
        <v>8.4</v>
      </c>
      <c r="C175" s="16">
        <f t="shared" si="4"/>
        <v>0.57499999999999996</v>
      </c>
      <c r="D175" s="15">
        <f t="shared" si="5"/>
        <v>6.8452380952380945E-2</v>
      </c>
    </row>
    <row r="176" spans="1:4" x14ac:dyDescent="0.25">
      <c r="A176" s="1">
        <v>45722</v>
      </c>
      <c r="B176">
        <v>8.14</v>
      </c>
      <c r="C176" s="16">
        <f t="shared" si="4"/>
        <v>0.57499999999999996</v>
      </c>
      <c r="D176" s="15">
        <f t="shared" si="5"/>
        <v>7.0638820638820626E-2</v>
      </c>
    </row>
    <row r="177" spans="1:4" x14ac:dyDescent="0.25">
      <c r="A177" s="1">
        <v>45723</v>
      </c>
      <c r="B177">
        <v>7.93</v>
      </c>
      <c r="C177" s="16">
        <f t="shared" si="4"/>
        <v>0.57499999999999996</v>
      </c>
      <c r="D177" s="15">
        <f t="shared" si="5"/>
        <v>7.2509457755359386E-2</v>
      </c>
    </row>
    <row r="178" spans="1:4" x14ac:dyDescent="0.25">
      <c r="A178" s="1">
        <v>45726</v>
      </c>
      <c r="B178">
        <v>8.02</v>
      </c>
      <c r="C178" s="16">
        <f t="shared" si="4"/>
        <v>0.57499999999999996</v>
      </c>
      <c r="D178" s="15">
        <f t="shared" si="5"/>
        <v>7.1695760598503744E-2</v>
      </c>
    </row>
    <row r="179" spans="1:4" x14ac:dyDescent="0.25">
      <c r="A179" s="1">
        <v>45727</v>
      </c>
      <c r="B179">
        <v>7.55</v>
      </c>
      <c r="C179" s="16">
        <f t="shared" si="4"/>
        <v>0.57499999999999996</v>
      </c>
      <c r="D179" s="15">
        <f t="shared" si="5"/>
        <v>7.6158940397350994E-2</v>
      </c>
    </row>
    <row r="180" spans="1:4" x14ac:dyDescent="0.25">
      <c r="A180" s="1">
        <v>45728</v>
      </c>
      <c r="B180">
        <v>7.42</v>
      </c>
      <c r="C180" s="16">
        <f t="shared" si="4"/>
        <v>0.57499999999999996</v>
      </c>
      <c r="D180" s="15">
        <f t="shared" si="5"/>
        <v>7.7493261455525597E-2</v>
      </c>
    </row>
    <row r="181" spans="1:4" x14ac:dyDescent="0.25">
      <c r="A181" s="1">
        <v>45729</v>
      </c>
      <c r="B181">
        <v>7.4</v>
      </c>
      <c r="C181" s="16">
        <f t="shared" si="4"/>
        <v>0.57499999999999996</v>
      </c>
      <c r="D181" s="15">
        <f t="shared" si="5"/>
        <v>7.7702702702702686E-2</v>
      </c>
    </row>
    <row r="182" spans="1:4" x14ac:dyDescent="0.25">
      <c r="A182" s="1">
        <v>45730</v>
      </c>
      <c r="B182">
        <v>7.4</v>
      </c>
      <c r="C182" s="16">
        <f t="shared" si="4"/>
        <v>0.57499999999999996</v>
      </c>
      <c r="D182" s="15">
        <f t="shared" si="5"/>
        <v>7.7702702702702686E-2</v>
      </c>
    </row>
    <row r="183" spans="1:4" x14ac:dyDescent="0.25">
      <c r="A183" s="1">
        <v>45733</v>
      </c>
      <c r="B183">
        <v>7.65</v>
      </c>
      <c r="C183" s="16">
        <f t="shared" si="4"/>
        <v>0.57499999999999996</v>
      </c>
      <c r="D183" s="15">
        <f t="shared" si="5"/>
        <v>7.5163398692810454E-2</v>
      </c>
    </row>
    <row r="184" spans="1:4" x14ac:dyDescent="0.25">
      <c r="A184" s="1">
        <v>45734</v>
      </c>
      <c r="B184">
        <v>7.9</v>
      </c>
      <c r="C184" s="16">
        <f t="shared" si="4"/>
        <v>0.57499999999999996</v>
      </c>
      <c r="D184" s="15">
        <f t="shared" si="5"/>
        <v>7.2784810126582264E-2</v>
      </c>
    </row>
    <row r="185" spans="1:4" x14ac:dyDescent="0.25">
      <c r="A185" s="1">
        <v>45735</v>
      </c>
      <c r="B185">
        <v>7.49</v>
      </c>
      <c r="C185" s="16">
        <f t="shared" si="4"/>
        <v>0.57499999999999996</v>
      </c>
      <c r="D185" s="15">
        <f t="shared" si="5"/>
        <v>7.6769025367156199E-2</v>
      </c>
    </row>
    <row r="186" spans="1:4" x14ac:dyDescent="0.25">
      <c r="A186" s="1">
        <v>45736</v>
      </c>
      <c r="B186">
        <v>7.5</v>
      </c>
      <c r="C186" s="16">
        <f t="shared" si="4"/>
        <v>0.57499999999999996</v>
      </c>
      <c r="D186" s="15">
        <f t="shared" si="5"/>
        <v>7.6666666666666661E-2</v>
      </c>
    </row>
    <row r="187" spans="1:4" x14ac:dyDescent="0.25">
      <c r="A187" s="1">
        <v>45737</v>
      </c>
      <c r="B187">
        <v>7.53</v>
      </c>
      <c r="C187" s="16">
        <f t="shared" si="4"/>
        <v>0.57499999999999996</v>
      </c>
      <c r="D187" s="15">
        <f t="shared" si="5"/>
        <v>7.636122177954846E-2</v>
      </c>
    </row>
    <row r="188" spans="1:4" x14ac:dyDescent="0.25">
      <c r="A188" s="1">
        <v>45740</v>
      </c>
      <c r="B188">
        <v>7.59</v>
      </c>
      <c r="C188" s="16">
        <f t="shared" si="4"/>
        <v>0.57499999999999996</v>
      </c>
      <c r="D188" s="15">
        <f t="shared" si="5"/>
        <v>7.575757575757576E-2</v>
      </c>
    </row>
    <row r="189" spans="1:4" x14ac:dyDescent="0.25">
      <c r="A189" s="1">
        <v>45741</v>
      </c>
      <c r="B189">
        <v>7.95</v>
      </c>
      <c r="C189" s="16">
        <f t="shared" si="4"/>
        <v>0.57499999999999996</v>
      </c>
      <c r="D189" s="15">
        <f t="shared" si="5"/>
        <v>7.2327044025157231E-2</v>
      </c>
    </row>
    <row r="190" spans="1:4" x14ac:dyDescent="0.25">
      <c r="A190" s="1">
        <v>45742</v>
      </c>
      <c r="B190">
        <v>8.0399999999999991</v>
      </c>
      <c r="C190" s="16">
        <f t="shared" si="4"/>
        <v>0.57499999999999996</v>
      </c>
      <c r="D190" s="15">
        <f t="shared" si="5"/>
        <v>7.1517412935323391E-2</v>
      </c>
    </row>
    <row r="191" spans="1:4" x14ac:dyDescent="0.25">
      <c r="A191" s="1">
        <v>45743</v>
      </c>
      <c r="B191">
        <v>8</v>
      </c>
      <c r="C191" s="16">
        <f t="shared" si="4"/>
        <v>0.57499999999999996</v>
      </c>
      <c r="D191" s="15">
        <f t="shared" si="5"/>
        <v>7.1874999999999994E-2</v>
      </c>
    </row>
    <row r="192" spans="1:4" x14ac:dyDescent="0.25">
      <c r="A192" s="1">
        <v>45744</v>
      </c>
      <c r="B192">
        <v>8.1199999999999992</v>
      </c>
      <c r="C192" s="16">
        <f t="shared" si="4"/>
        <v>0.57499999999999996</v>
      </c>
      <c r="D192" s="15">
        <f t="shared" si="5"/>
        <v>7.0812807881773396E-2</v>
      </c>
    </row>
    <row r="193" spans="1:4" x14ac:dyDescent="0.25">
      <c r="A193" s="1">
        <v>45747</v>
      </c>
      <c r="B193">
        <v>7.72</v>
      </c>
      <c r="C193" s="16">
        <f t="shared" si="4"/>
        <v>0.57499999999999996</v>
      </c>
      <c r="D193" s="15">
        <f t="shared" si="5"/>
        <v>7.4481865284974094E-2</v>
      </c>
    </row>
    <row r="194" spans="1:4" x14ac:dyDescent="0.25">
      <c r="A194" s="1">
        <v>45748</v>
      </c>
      <c r="B194">
        <v>7.46</v>
      </c>
      <c r="C194" s="16">
        <f t="shared" si="4"/>
        <v>0.57499999999999996</v>
      </c>
      <c r="D194" s="15">
        <f t="shared" si="5"/>
        <v>7.7077747989276135E-2</v>
      </c>
    </row>
    <row r="195" spans="1:4" x14ac:dyDescent="0.25">
      <c r="A195" s="1">
        <v>45749</v>
      </c>
      <c r="B195">
        <v>7.4</v>
      </c>
      <c r="C195" s="16">
        <f t="shared" ref="C195:C254" si="6">(22+19+16.5)/100</f>
        <v>0.57499999999999996</v>
      </c>
      <c r="D195" s="15">
        <f t="shared" ref="D195:D254" si="7">$C$2/B195</f>
        <v>7.7702702702702686E-2</v>
      </c>
    </row>
    <row r="196" spans="1:4" x14ac:dyDescent="0.25">
      <c r="A196" s="1">
        <v>45750</v>
      </c>
      <c r="B196">
        <v>7.53</v>
      </c>
      <c r="C196" s="16">
        <f t="shared" si="6"/>
        <v>0.57499999999999996</v>
      </c>
      <c r="D196" s="15">
        <f t="shared" si="7"/>
        <v>7.636122177954846E-2</v>
      </c>
    </row>
    <row r="197" spans="1:4" x14ac:dyDescent="0.25">
      <c r="A197" s="1">
        <v>45751</v>
      </c>
      <c r="B197">
        <v>7.2</v>
      </c>
      <c r="C197" s="16">
        <f t="shared" si="6"/>
        <v>0.57499999999999996</v>
      </c>
      <c r="D197" s="15">
        <f t="shared" si="7"/>
        <v>7.9861111111111105E-2</v>
      </c>
    </row>
    <row r="198" spans="1:4" x14ac:dyDescent="0.25">
      <c r="A198" s="1">
        <v>45754</v>
      </c>
      <c r="B198">
        <v>6.95</v>
      </c>
      <c r="C198" s="16">
        <f t="shared" si="6"/>
        <v>0.57499999999999996</v>
      </c>
      <c r="D198" s="15">
        <f t="shared" si="7"/>
        <v>8.2733812949640273E-2</v>
      </c>
    </row>
    <row r="199" spans="1:4" x14ac:dyDescent="0.25">
      <c r="A199" s="1">
        <v>45755</v>
      </c>
      <c r="B199">
        <v>6.91</v>
      </c>
      <c r="C199" s="16">
        <f t="shared" si="6"/>
        <v>0.57499999999999996</v>
      </c>
      <c r="D199" s="15">
        <f t="shared" si="7"/>
        <v>8.3212735166425467E-2</v>
      </c>
    </row>
    <row r="200" spans="1:4" x14ac:dyDescent="0.25">
      <c r="A200" s="1">
        <v>45756</v>
      </c>
      <c r="B200">
        <v>6.86</v>
      </c>
      <c r="C200" s="16">
        <f t="shared" si="6"/>
        <v>0.57499999999999996</v>
      </c>
      <c r="D200" s="15">
        <f t="shared" si="7"/>
        <v>8.3819241982507273E-2</v>
      </c>
    </row>
    <row r="201" spans="1:4" x14ac:dyDescent="0.25">
      <c r="A201" s="1">
        <v>45757</v>
      </c>
      <c r="B201">
        <v>7.45</v>
      </c>
      <c r="C201" s="16">
        <f t="shared" si="6"/>
        <v>0.57499999999999996</v>
      </c>
      <c r="D201" s="15">
        <f t="shared" si="7"/>
        <v>7.7181208053691261E-2</v>
      </c>
    </row>
    <row r="202" spans="1:4" x14ac:dyDescent="0.25">
      <c r="A202" s="1">
        <v>45758</v>
      </c>
      <c r="B202">
        <v>7.2</v>
      </c>
      <c r="C202" s="16">
        <f t="shared" si="6"/>
        <v>0.57499999999999996</v>
      </c>
      <c r="D202" s="15">
        <f t="shared" si="7"/>
        <v>7.9861111111111105E-2</v>
      </c>
    </row>
    <row r="203" spans="1:4" x14ac:dyDescent="0.25">
      <c r="A203" s="1">
        <v>45761</v>
      </c>
      <c r="B203">
        <v>7.34</v>
      </c>
      <c r="C203" s="16">
        <f t="shared" si="6"/>
        <v>0.57499999999999996</v>
      </c>
      <c r="D203" s="15">
        <f t="shared" si="7"/>
        <v>7.8337874659400536E-2</v>
      </c>
    </row>
    <row r="204" spans="1:4" x14ac:dyDescent="0.25">
      <c r="A204" s="1">
        <v>45762</v>
      </c>
      <c r="B204">
        <v>7.46</v>
      </c>
      <c r="C204" s="16">
        <f t="shared" si="6"/>
        <v>0.57499999999999996</v>
      </c>
      <c r="D204" s="15">
        <f t="shared" si="7"/>
        <v>7.7077747989276135E-2</v>
      </c>
    </row>
    <row r="205" spans="1:4" x14ac:dyDescent="0.25">
      <c r="A205" s="1">
        <v>45763</v>
      </c>
      <c r="B205">
        <v>7.5</v>
      </c>
      <c r="C205" s="16">
        <f t="shared" si="6"/>
        <v>0.57499999999999996</v>
      </c>
      <c r="D205" s="15">
        <f t="shared" si="7"/>
        <v>7.6666666666666661E-2</v>
      </c>
    </row>
    <row r="206" spans="1:4" x14ac:dyDescent="0.25">
      <c r="A206" s="1">
        <v>45764</v>
      </c>
      <c r="B206">
        <v>7.45</v>
      </c>
      <c r="C206" s="16">
        <f t="shared" si="6"/>
        <v>0.57499999999999996</v>
      </c>
      <c r="D206" s="15">
        <f t="shared" si="7"/>
        <v>7.7181208053691261E-2</v>
      </c>
    </row>
    <row r="207" spans="1:4" x14ac:dyDescent="0.25">
      <c r="A207" s="1">
        <v>45769</v>
      </c>
      <c r="B207">
        <v>7.34</v>
      </c>
      <c r="C207" s="16">
        <f t="shared" si="6"/>
        <v>0.57499999999999996</v>
      </c>
      <c r="D207" s="15">
        <f t="shared" si="7"/>
        <v>7.8337874659400536E-2</v>
      </c>
    </row>
    <row r="208" spans="1:4" x14ac:dyDescent="0.25">
      <c r="A208" s="1">
        <v>45770</v>
      </c>
      <c r="B208">
        <v>7.76</v>
      </c>
      <c r="C208" s="16">
        <f t="shared" si="6"/>
        <v>0.57499999999999996</v>
      </c>
      <c r="D208" s="15">
        <f t="shared" si="7"/>
        <v>7.4097938144329897E-2</v>
      </c>
    </row>
    <row r="209" spans="1:4" x14ac:dyDescent="0.25">
      <c r="A209" s="1">
        <v>45771</v>
      </c>
      <c r="B209">
        <v>7.65</v>
      </c>
      <c r="C209" s="16">
        <f t="shared" si="6"/>
        <v>0.57499999999999996</v>
      </c>
      <c r="D209" s="15">
        <f t="shared" si="7"/>
        <v>7.5163398692810454E-2</v>
      </c>
    </row>
    <row r="210" spans="1:4" x14ac:dyDescent="0.25">
      <c r="A210" s="1">
        <v>45775</v>
      </c>
      <c r="B210">
        <v>7.65</v>
      </c>
      <c r="C210" s="16">
        <f t="shared" si="6"/>
        <v>0.57499999999999996</v>
      </c>
      <c r="D210" s="15">
        <f t="shared" si="7"/>
        <v>7.5163398692810454E-2</v>
      </c>
    </row>
    <row r="211" spans="1:4" x14ac:dyDescent="0.25">
      <c r="A211" s="1">
        <v>45776</v>
      </c>
      <c r="B211">
        <v>7.87</v>
      </c>
      <c r="C211" s="16">
        <f t="shared" si="6"/>
        <v>0.57499999999999996</v>
      </c>
      <c r="D211" s="15">
        <f t="shared" si="7"/>
        <v>7.306226175349427E-2</v>
      </c>
    </row>
    <row r="212" spans="1:4" x14ac:dyDescent="0.25">
      <c r="A212" s="1">
        <v>45777</v>
      </c>
      <c r="B212">
        <v>7.74</v>
      </c>
      <c r="C212" s="16">
        <f t="shared" si="6"/>
        <v>0.57499999999999996</v>
      </c>
      <c r="D212" s="15">
        <f t="shared" si="7"/>
        <v>7.428940568475452E-2</v>
      </c>
    </row>
    <row r="213" spans="1:4" x14ac:dyDescent="0.25">
      <c r="A213" s="1">
        <v>45778</v>
      </c>
      <c r="B213">
        <v>7.65</v>
      </c>
      <c r="C213" s="16">
        <f t="shared" si="6"/>
        <v>0.57499999999999996</v>
      </c>
      <c r="D213" s="15">
        <f t="shared" si="7"/>
        <v>7.5163398692810454E-2</v>
      </c>
    </row>
    <row r="214" spans="1:4" x14ac:dyDescent="0.25">
      <c r="A214" s="1">
        <v>45779</v>
      </c>
      <c r="B214">
        <v>7.81</v>
      </c>
      <c r="C214" s="16">
        <f t="shared" si="6"/>
        <v>0.57499999999999996</v>
      </c>
      <c r="D214" s="15">
        <f t="shared" si="7"/>
        <v>7.3623559539052488E-2</v>
      </c>
    </row>
    <row r="215" spans="1:4" x14ac:dyDescent="0.25">
      <c r="A215" s="1">
        <v>45782</v>
      </c>
      <c r="B215">
        <v>7.67</v>
      </c>
      <c r="C215" s="16">
        <f t="shared" si="6"/>
        <v>0.57499999999999996</v>
      </c>
      <c r="D215" s="15">
        <f t="shared" si="7"/>
        <v>7.4967405475880045E-2</v>
      </c>
    </row>
    <row r="216" spans="1:4" x14ac:dyDescent="0.25">
      <c r="A216" s="1">
        <v>45783</v>
      </c>
      <c r="B216">
        <v>7.79</v>
      </c>
      <c r="C216" s="16">
        <f t="shared" si="6"/>
        <v>0.57499999999999996</v>
      </c>
      <c r="D216" s="15">
        <f t="shared" si="7"/>
        <v>7.3812580231065461E-2</v>
      </c>
    </row>
    <row r="217" spans="1:4" x14ac:dyDescent="0.25">
      <c r="A217" s="1">
        <v>45784</v>
      </c>
      <c r="B217">
        <v>7.86</v>
      </c>
      <c r="C217" s="16">
        <f t="shared" si="6"/>
        <v>0.57499999999999996</v>
      </c>
      <c r="D217" s="15">
        <f t="shared" si="7"/>
        <v>7.3155216284987265E-2</v>
      </c>
    </row>
    <row r="218" spans="1:4" x14ac:dyDescent="0.25">
      <c r="A218" s="1">
        <v>45785</v>
      </c>
      <c r="B218">
        <v>7.9</v>
      </c>
      <c r="C218" s="16">
        <f t="shared" si="6"/>
        <v>0.57499999999999996</v>
      </c>
      <c r="D218" s="15">
        <f t="shared" si="7"/>
        <v>7.2784810126582264E-2</v>
      </c>
    </row>
    <row r="219" spans="1:4" x14ac:dyDescent="0.25">
      <c r="A219" s="1">
        <v>45786</v>
      </c>
      <c r="B219">
        <v>7.94</v>
      </c>
      <c r="C219" s="16">
        <f t="shared" si="6"/>
        <v>0.57499999999999996</v>
      </c>
      <c r="D219" s="15">
        <f t="shared" si="7"/>
        <v>7.2418136020151125E-2</v>
      </c>
    </row>
    <row r="220" spans="1:4" x14ac:dyDescent="0.25">
      <c r="A220" s="1">
        <v>45789</v>
      </c>
      <c r="B220">
        <v>8.17</v>
      </c>
      <c r="C220" s="16">
        <f t="shared" si="6"/>
        <v>0.57499999999999996</v>
      </c>
      <c r="D220" s="15">
        <f t="shared" si="7"/>
        <v>7.0379436964504286E-2</v>
      </c>
    </row>
    <row r="221" spans="1:4" x14ac:dyDescent="0.25">
      <c r="A221" s="1">
        <v>45790</v>
      </c>
      <c r="B221">
        <v>8.64</v>
      </c>
      <c r="C221" s="16">
        <f t="shared" si="6"/>
        <v>0.57499999999999996</v>
      </c>
      <c r="D221" s="15">
        <f t="shared" si="7"/>
        <v>6.6550925925925916E-2</v>
      </c>
    </row>
    <row r="222" spans="1:4" x14ac:dyDescent="0.25">
      <c r="A222" s="1">
        <v>45791</v>
      </c>
      <c r="B222">
        <v>8.2899999999999991</v>
      </c>
      <c r="C222" s="16">
        <f t="shared" si="6"/>
        <v>0.57499999999999996</v>
      </c>
      <c r="D222" s="15">
        <f t="shared" si="7"/>
        <v>6.9360675512665865E-2</v>
      </c>
    </row>
    <row r="223" spans="1:4" x14ac:dyDescent="0.25">
      <c r="A223" s="1">
        <v>45792</v>
      </c>
      <c r="B223">
        <v>8.4</v>
      </c>
      <c r="C223" s="16">
        <f t="shared" si="6"/>
        <v>0.57499999999999996</v>
      </c>
      <c r="D223" s="15">
        <f t="shared" si="7"/>
        <v>6.8452380952380945E-2</v>
      </c>
    </row>
    <row r="224" spans="1:4" x14ac:dyDescent="0.25">
      <c r="A224" s="1">
        <v>45793</v>
      </c>
      <c r="B224">
        <v>8.35</v>
      </c>
      <c r="C224" s="16">
        <f t="shared" si="6"/>
        <v>0.57499999999999996</v>
      </c>
      <c r="D224" s="15">
        <f t="shared" si="7"/>
        <v>6.8862275449101798E-2</v>
      </c>
    </row>
    <row r="225" spans="1:4" x14ac:dyDescent="0.25">
      <c r="A225" s="1">
        <v>45796</v>
      </c>
      <c r="B225">
        <v>8.16</v>
      </c>
      <c r="C225" s="16">
        <f t="shared" si="6"/>
        <v>0.57499999999999996</v>
      </c>
      <c r="D225" s="15">
        <f t="shared" si="7"/>
        <v>7.0465686274509803E-2</v>
      </c>
    </row>
    <row r="226" spans="1:4" x14ac:dyDescent="0.25">
      <c r="A226" s="1">
        <v>45797</v>
      </c>
      <c r="B226">
        <v>8.18</v>
      </c>
      <c r="C226" s="16">
        <f t="shared" si="6"/>
        <v>0.57499999999999996</v>
      </c>
      <c r="D226" s="15">
        <f t="shared" si="7"/>
        <v>7.0293398533007326E-2</v>
      </c>
    </row>
    <row r="227" spans="1:4" x14ac:dyDescent="0.25">
      <c r="A227" s="1">
        <v>45798</v>
      </c>
      <c r="B227">
        <v>7.71</v>
      </c>
      <c r="C227" s="16">
        <f t="shared" si="6"/>
        <v>0.57499999999999996</v>
      </c>
      <c r="D227" s="15">
        <f t="shared" si="7"/>
        <v>7.457846952010376E-2</v>
      </c>
    </row>
    <row r="228" spans="1:4" x14ac:dyDescent="0.25">
      <c r="A228" s="1">
        <v>45799</v>
      </c>
      <c r="B228">
        <v>7.61</v>
      </c>
      <c r="C228" s="16">
        <f t="shared" si="6"/>
        <v>0.57499999999999996</v>
      </c>
      <c r="D228" s="15">
        <f t="shared" si="7"/>
        <v>7.5558475689881721E-2</v>
      </c>
    </row>
    <row r="229" spans="1:4" x14ac:dyDescent="0.25">
      <c r="A229" s="1">
        <v>45800</v>
      </c>
      <c r="B229">
        <v>7.65</v>
      </c>
      <c r="C229" s="16">
        <f t="shared" si="6"/>
        <v>0.57499999999999996</v>
      </c>
      <c r="D229" s="15">
        <f t="shared" si="7"/>
        <v>7.5163398692810454E-2</v>
      </c>
    </row>
    <row r="230" spans="1:4" x14ac:dyDescent="0.25">
      <c r="A230" s="1">
        <v>45803</v>
      </c>
      <c r="B230">
        <v>7.42</v>
      </c>
      <c r="C230" s="16">
        <f t="shared" si="6"/>
        <v>0.57499999999999996</v>
      </c>
      <c r="D230" s="15">
        <f t="shared" si="7"/>
        <v>7.7493261455525597E-2</v>
      </c>
    </row>
    <row r="231" spans="1:4" x14ac:dyDescent="0.25">
      <c r="A231" s="1">
        <v>45804</v>
      </c>
      <c r="B231">
        <v>7.28</v>
      </c>
      <c r="C231" s="16">
        <f t="shared" si="6"/>
        <v>0.57499999999999996</v>
      </c>
      <c r="D231" s="15">
        <f t="shared" si="7"/>
        <v>7.898351648351648E-2</v>
      </c>
    </row>
    <row r="232" spans="1:4" x14ac:dyDescent="0.25">
      <c r="A232" s="1">
        <v>45805</v>
      </c>
      <c r="B232">
        <v>7.49</v>
      </c>
      <c r="C232" s="16">
        <f t="shared" si="6"/>
        <v>0.57499999999999996</v>
      </c>
      <c r="D232" s="15">
        <f t="shared" si="7"/>
        <v>7.6769025367156199E-2</v>
      </c>
    </row>
    <row r="233" spans="1:4" x14ac:dyDescent="0.25">
      <c r="A233" s="1">
        <v>45806</v>
      </c>
      <c r="B233">
        <v>7.51</v>
      </c>
      <c r="C233" s="16">
        <f t="shared" si="6"/>
        <v>0.57499999999999996</v>
      </c>
      <c r="D233" s="15">
        <f t="shared" si="7"/>
        <v>7.656458055925433E-2</v>
      </c>
    </row>
    <row r="234" spans="1:4" x14ac:dyDescent="0.25">
      <c r="A234" s="1">
        <v>45807</v>
      </c>
      <c r="B234">
        <v>7.77</v>
      </c>
      <c r="C234" s="16">
        <f t="shared" si="6"/>
        <v>0.57499999999999996</v>
      </c>
      <c r="D234" s="15">
        <f t="shared" si="7"/>
        <v>7.4002574002573998E-2</v>
      </c>
    </row>
    <row r="235" spans="1:4" x14ac:dyDescent="0.25">
      <c r="A235" s="1">
        <v>45810</v>
      </c>
      <c r="B235">
        <v>7.58</v>
      </c>
      <c r="C235" s="16">
        <f t="shared" si="6"/>
        <v>0.57499999999999996</v>
      </c>
      <c r="D235" s="15">
        <f t="shared" si="7"/>
        <v>7.5857519788918193E-2</v>
      </c>
    </row>
    <row r="236" spans="1:4" x14ac:dyDescent="0.25">
      <c r="A236" s="1">
        <v>45811</v>
      </c>
      <c r="B236">
        <v>7.6</v>
      </c>
      <c r="C236" s="16">
        <f t="shared" si="6"/>
        <v>0.57499999999999996</v>
      </c>
      <c r="D236" s="15">
        <f t="shared" si="7"/>
        <v>7.5657894736842105E-2</v>
      </c>
    </row>
    <row r="237" spans="1:4" x14ac:dyDescent="0.25">
      <c r="A237" s="1">
        <v>45812</v>
      </c>
      <c r="B237">
        <v>7.88</v>
      </c>
      <c r="C237" s="16">
        <f t="shared" si="6"/>
        <v>0.57499999999999996</v>
      </c>
      <c r="D237" s="15">
        <f t="shared" si="7"/>
        <v>7.2969543147208119E-2</v>
      </c>
    </row>
    <row r="238" spans="1:4" x14ac:dyDescent="0.25">
      <c r="A238" s="1">
        <v>45813</v>
      </c>
      <c r="B238">
        <v>7.85</v>
      </c>
      <c r="C238" s="16">
        <f t="shared" si="6"/>
        <v>0.57499999999999996</v>
      </c>
      <c r="D238" s="15">
        <f t="shared" si="7"/>
        <v>7.32484076433121E-2</v>
      </c>
    </row>
    <row r="239" spans="1:4" x14ac:dyDescent="0.25">
      <c r="A239" s="1">
        <v>45814</v>
      </c>
      <c r="B239">
        <v>7.85</v>
      </c>
      <c r="C239" s="16">
        <f t="shared" si="6"/>
        <v>0.57499999999999996</v>
      </c>
      <c r="D239" s="15">
        <f t="shared" si="7"/>
        <v>7.32484076433121E-2</v>
      </c>
    </row>
    <row r="240" spans="1:4" x14ac:dyDescent="0.25">
      <c r="A240" s="1">
        <v>45818</v>
      </c>
      <c r="B240">
        <v>7.84</v>
      </c>
      <c r="C240" s="16">
        <f t="shared" si="6"/>
        <v>0.57499999999999996</v>
      </c>
      <c r="D240" s="15">
        <f t="shared" si="7"/>
        <v>7.3341836734693869E-2</v>
      </c>
    </row>
    <row r="241" spans="1:4" x14ac:dyDescent="0.25">
      <c r="A241" s="1">
        <v>45819</v>
      </c>
      <c r="B241">
        <v>7.76</v>
      </c>
      <c r="C241" s="16">
        <f t="shared" si="6"/>
        <v>0.57499999999999996</v>
      </c>
      <c r="D241" s="15">
        <f t="shared" si="7"/>
        <v>7.4097938144329897E-2</v>
      </c>
    </row>
    <row r="242" spans="1:4" x14ac:dyDescent="0.25">
      <c r="A242" s="1">
        <v>45820</v>
      </c>
      <c r="B242">
        <v>7.58</v>
      </c>
      <c r="C242" s="16">
        <f t="shared" si="6"/>
        <v>0.57499999999999996</v>
      </c>
      <c r="D242" s="15">
        <f t="shared" si="7"/>
        <v>7.5857519788918193E-2</v>
      </c>
    </row>
    <row r="243" spans="1:4" x14ac:dyDescent="0.25">
      <c r="A243" s="1">
        <v>45821</v>
      </c>
      <c r="B243">
        <v>7.4</v>
      </c>
      <c r="C243" s="16">
        <f t="shared" si="6"/>
        <v>0.57499999999999996</v>
      </c>
      <c r="D243" s="15">
        <f t="shared" si="7"/>
        <v>7.7702702702702686E-2</v>
      </c>
    </row>
    <row r="244" spans="1:4" x14ac:dyDescent="0.25">
      <c r="A244" s="1">
        <v>45824</v>
      </c>
      <c r="B244">
        <v>7.46</v>
      </c>
      <c r="C244" s="16">
        <f t="shared" si="6"/>
        <v>0.57499999999999996</v>
      </c>
      <c r="D244" s="15">
        <f t="shared" si="7"/>
        <v>7.7077747989276135E-2</v>
      </c>
    </row>
    <row r="245" spans="1:4" x14ac:dyDescent="0.25">
      <c r="A245" s="1">
        <v>45825</v>
      </c>
      <c r="B245">
        <v>7.78</v>
      </c>
      <c r="C245" s="16">
        <f t="shared" si="6"/>
        <v>0.57499999999999996</v>
      </c>
      <c r="D245" s="15">
        <f t="shared" si="7"/>
        <v>7.3907455012853465E-2</v>
      </c>
    </row>
    <row r="246" spans="1:4" x14ac:dyDescent="0.25">
      <c r="A246" s="1">
        <v>45826</v>
      </c>
      <c r="B246">
        <v>7.59</v>
      </c>
      <c r="C246" s="16">
        <f t="shared" si="6"/>
        <v>0.57499999999999996</v>
      </c>
      <c r="D246" s="15">
        <f t="shared" si="7"/>
        <v>7.575757575757576E-2</v>
      </c>
    </row>
    <row r="247" spans="1:4" x14ac:dyDescent="0.25">
      <c r="A247" s="1">
        <v>45827</v>
      </c>
      <c r="B247">
        <v>7.43</v>
      </c>
      <c r="C247" s="16">
        <f t="shared" si="6"/>
        <v>0.57499999999999996</v>
      </c>
      <c r="D247" s="15">
        <f t="shared" si="7"/>
        <v>7.7388963660834448E-2</v>
      </c>
    </row>
    <row r="248" spans="1:4" x14ac:dyDescent="0.25">
      <c r="A248" s="1">
        <v>45828</v>
      </c>
      <c r="B248">
        <v>7.38</v>
      </c>
      <c r="C248" s="16">
        <f t="shared" si="6"/>
        <v>0.57499999999999996</v>
      </c>
      <c r="D248" s="15">
        <f t="shared" si="7"/>
        <v>7.7913279132791322E-2</v>
      </c>
    </row>
    <row r="249" spans="1:4" x14ac:dyDescent="0.25">
      <c r="A249" s="1">
        <v>45831</v>
      </c>
      <c r="B249">
        <v>7.36</v>
      </c>
      <c r="C249" s="16">
        <f t="shared" si="6"/>
        <v>0.57499999999999996</v>
      </c>
      <c r="D249" s="15">
        <f t="shared" si="7"/>
        <v>7.8124999999999986E-2</v>
      </c>
    </row>
    <row r="250" spans="1:4" x14ac:dyDescent="0.25">
      <c r="A250" s="1">
        <v>45832</v>
      </c>
      <c r="B250">
        <v>7.27</v>
      </c>
      <c r="C250" s="16">
        <f t="shared" si="6"/>
        <v>0.57499999999999996</v>
      </c>
      <c r="D250" s="15">
        <f t="shared" si="7"/>
        <v>7.9092159559834938E-2</v>
      </c>
    </row>
    <row r="251" spans="1:4" x14ac:dyDescent="0.25">
      <c r="A251" s="1">
        <v>45833</v>
      </c>
      <c r="B251">
        <v>7.35</v>
      </c>
      <c r="C251" s="16">
        <f t="shared" si="6"/>
        <v>0.57499999999999996</v>
      </c>
      <c r="D251" s="15">
        <f t="shared" si="7"/>
        <v>7.8231292517006806E-2</v>
      </c>
    </row>
    <row r="252" spans="1:4" x14ac:dyDescent="0.25">
      <c r="A252" s="1">
        <v>45834</v>
      </c>
      <c r="B252">
        <v>7.44</v>
      </c>
      <c r="C252" s="16">
        <f t="shared" si="6"/>
        <v>0.57499999999999996</v>
      </c>
      <c r="D252" s="15">
        <f t="shared" si="7"/>
        <v>7.7284946236559127E-2</v>
      </c>
    </row>
    <row r="253" spans="1:4" x14ac:dyDescent="0.25">
      <c r="A253" s="1">
        <v>45835</v>
      </c>
      <c r="B253">
        <v>7.61</v>
      </c>
      <c r="C253" s="16">
        <f t="shared" si="6"/>
        <v>0.57499999999999996</v>
      </c>
      <c r="D253" s="15">
        <f t="shared" si="7"/>
        <v>7.5558475689881721E-2</v>
      </c>
    </row>
    <row r="254" spans="1:4" x14ac:dyDescent="0.25">
      <c r="A254" s="1">
        <v>45838</v>
      </c>
      <c r="B254">
        <v>7.78</v>
      </c>
      <c r="C254" s="16">
        <f t="shared" si="6"/>
        <v>0.57499999999999996</v>
      </c>
      <c r="D254" s="15">
        <f t="shared" si="7"/>
        <v>7.3907455012853465E-2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4"/>
  <sheetViews>
    <sheetView topLeftCell="E1" zoomScale="70" zoomScaleNormal="70" workbookViewId="0">
      <selection activeCell="I44" sqref="I44"/>
    </sheetView>
  </sheetViews>
  <sheetFormatPr defaultRowHeight="13.2" x14ac:dyDescent="0.25"/>
  <cols>
    <col min="1" max="1" width="18.5546875" style="1" customWidth="1"/>
    <col min="2" max="2" width="18.5546875" style="2" customWidth="1"/>
    <col min="3" max="3" width="11.5546875" bestFit="1" customWidth="1"/>
    <col min="6" max="6" width="28.77734375" bestFit="1" customWidth="1"/>
    <col min="7" max="7" width="12.33203125" bestFit="1" customWidth="1"/>
    <col min="8" max="8" width="12.5546875" bestFit="1" customWidth="1"/>
  </cols>
  <sheetData>
    <row r="1" spans="1:8" ht="14.4" x14ac:dyDescent="0.3">
      <c r="A1" s="3" t="s">
        <v>2</v>
      </c>
      <c r="B1" s="3" t="s">
        <v>6</v>
      </c>
      <c r="C1" t="s">
        <v>17</v>
      </c>
      <c r="D1" t="s">
        <v>18</v>
      </c>
      <c r="G1" t="s">
        <v>19</v>
      </c>
      <c r="H1" t="s">
        <v>12</v>
      </c>
    </row>
    <row r="2" spans="1:8" x14ac:dyDescent="0.25">
      <c r="A2" s="1">
        <v>45474</v>
      </c>
      <c r="B2" s="4">
        <v>4.95</v>
      </c>
      <c r="C2">
        <f>$G$9*B2</f>
        <v>999.90000000000009</v>
      </c>
      <c r="D2">
        <v>1000</v>
      </c>
      <c r="G2">
        <f>D2-C2</f>
        <v>9.9999999999909051E-2</v>
      </c>
      <c r="H2">
        <f>(22+19+16.5)/100</f>
        <v>0.57499999999999996</v>
      </c>
    </row>
    <row r="3" spans="1:8" x14ac:dyDescent="0.25">
      <c r="A3" s="1">
        <v>45475</v>
      </c>
      <c r="B3" s="4">
        <v>4.96</v>
      </c>
      <c r="C3">
        <f t="shared" ref="C3:C66" si="0">$G$9*B3</f>
        <v>1001.92</v>
      </c>
      <c r="D3">
        <f>C3+$G$2</f>
        <v>1002.0199999999999</v>
      </c>
    </row>
    <row r="4" spans="1:8" x14ac:dyDescent="0.25">
      <c r="A4" s="1">
        <v>45476</v>
      </c>
      <c r="B4" s="4">
        <v>4.8099999999999996</v>
      </c>
      <c r="C4">
        <f t="shared" si="0"/>
        <v>971.61999999999989</v>
      </c>
      <c r="D4">
        <f t="shared" ref="D4:D67" si="1">C4+$G$2</f>
        <v>971.7199999999998</v>
      </c>
    </row>
    <row r="5" spans="1:8" x14ac:dyDescent="0.25">
      <c r="A5" s="1">
        <v>45477</v>
      </c>
      <c r="B5" s="4">
        <v>4.84</v>
      </c>
      <c r="C5">
        <f t="shared" si="0"/>
        <v>977.68</v>
      </c>
      <c r="D5">
        <f t="shared" si="1"/>
        <v>977.77999999999986</v>
      </c>
    </row>
    <row r="6" spans="1:8" x14ac:dyDescent="0.25">
      <c r="A6" s="1">
        <v>45478</v>
      </c>
      <c r="B6" s="4">
        <v>4.82</v>
      </c>
      <c r="C6">
        <f t="shared" si="0"/>
        <v>973.6400000000001</v>
      </c>
      <c r="D6">
        <f t="shared" si="1"/>
        <v>973.74</v>
      </c>
      <c r="H6" t="s">
        <v>22</v>
      </c>
    </row>
    <row r="7" spans="1:8" x14ac:dyDescent="0.25">
      <c r="A7" s="1">
        <v>45481</v>
      </c>
      <c r="B7" s="4">
        <v>4.8099999999999996</v>
      </c>
      <c r="C7">
        <f t="shared" si="0"/>
        <v>971.61999999999989</v>
      </c>
      <c r="D7">
        <f t="shared" si="1"/>
        <v>971.7199999999998</v>
      </c>
      <c r="H7">
        <f>H2*G9</f>
        <v>116.14999999999999</v>
      </c>
    </row>
    <row r="8" spans="1:8" x14ac:dyDescent="0.25">
      <c r="A8" s="1">
        <v>45482</v>
      </c>
      <c r="B8" s="4">
        <v>4.91</v>
      </c>
      <c r="C8">
        <f t="shared" si="0"/>
        <v>991.82</v>
      </c>
      <c r="D8">
        <f t="shared" si="1"/>
        <v>991.92</v>
      </c>
      <c r="F8" t="s">
        <v>21</v>
      </c>
      <c r="G8">
        <f>D2/B2</f>
        <v>202.02020202020202</v>
      </c>
    </row>
    <row r="9" spans="1:8" x14ac:dyDescent="0.25">
      <c r="A9" s="1">
        <v>45483</v>
      </c>
      <c r="B9" s="4">
        <v>4.91</v>
      </c>
      <c r="C9">
        <f t="shared" si="0"/>
        <v>991.82</v>
      </c>
      <c r="D9">
        <f t="shared" si="1"/>
        <v>991.92</v>
      </c>
      <c r="F9" t="s">
        <v>20</v>
      </c>
      <c r="G9">
        <f>ROUNDDOWN(G8,0)</f>
        <v>202</v>
      </c>
    </row>
    <row r="10" spans="1:8" x14ac:dyDescent="0.25">
      <c r="A10" s="1">
        <v>45484</v>
      </c>
      <c r="B10" s="4">
        <v>5</v>
      </c>
      <c r="C10">
        <f t="shared" si="0"/>
        <v>1010</v>
      </c>
      <c r="D10">
        <f t="shared" si="1"/>
        <v>1010.0999999999999</v>
      </c>
    </row>
    <row r="11" spans="1:8" x14ac:dyDescent="0.25">
      <c r="A11" s="1">
        <v>45485</v>
      </c>
      <c r="B11" s="4">
        <v>5.08</v>
      </c>
      <c r="C11">
        <f t="shared" si="0"/>
        <v>1026.1600000000001</v>
      </c>
      <c r="D11">
        <f t="shared" si="1"/>
        <v>1026.26</v>
      </c>
    </row>
    <row r="12" spans="1:8" x14ac:dyDescent="0.25">
      <c r="A12" s="1">
        <v>45488</v>
      </c>
      <c r="B12" s="4">
        <v>4.95</v>
      </c>
      <c r="C12">
        <f t="shared" si="0"/>
        <v>999.90000000000009</v>
      </c>
      <c r="D12">
        <f t="shared" si="1"/>
        <v>1000</v>
      </c>
    </row>
    <row r="13" spans="1:8" x14ac:dyDescent="0.25">
      <c r="A13" s="1">
        <v>45489</v>
      </c>
      <c r="B13" s="4">
        <v>5.19</v>
      </c>
      <c r="C13">
        <f t="shared" si="0"/>
        <v>1048.3800000000001</v>
      </c>
      <c r="D13">
        <f t="shared" si="1"/>
        <v>1048.48</v>
      </c>
    </row>
    <row r="14" spans="1:8" x14ac:dyDescent="0.25">
      <c r="A14" s="1">
        <v>45490</v>
      </c>
      <c r="B14" s="4">
        <v>5.38</v>
      </c>
      <c r="C14">
        <f t="shared" si="0"/>
        <v>1086.76</v>
      </c>
      <c r="D14">
        <f t="shared" si="1"/>
        <v>1086.8599999999999</v>
      </c>
    </row>
    <row r="15" spans="1:8" x14ac:dyDescent="0.25">
      <c r="A15" s="1">
        <v>45491</v>
      </c>
      <c r="B15" s="4">
        <v>5.46</v>
      </c>
      <c r="C15">
        <f t="shared" si="0"/>
        <v>1102.92</v>
      </c>
      <c r="D15">
        <f t="shared" si="1"/>
        <v>1103.02</v>
      </c>
    </row>
    <row r="16" spans="1:8" x14ac:dyDescent="0.25">
      <c r="A16" s="1">
        <v>45492</v>
      </c>
      <c r="B16" s="4">
        <v>5.75</v>
      </c>
      <c r="C16">
        <f t="shared" si="0"/>
        <v>1161.5</v>
      </c>
      <c r="D16">
        <f t="shared" si="1"/>
        <v>1161.5999999999999</v>
      </c>
    </row>
    <row r="17" spans="1:4" x14ac:dyDescent="0.25">
      <c r="A17" s="1">
        <v>45495</v>
      </c>
      <c r="B17" s="4">
        <v>5.77</v>
      </c>
      <c r="C17">
        <f t="shared" si="0"/>
        <v>1165.54</v>
      </c>
      <c r="D17">
        <f t="shared" si="1"/>
        <v>1165.6399999999999</v>
      </c>
    </row>
    <row r="18" spans="1:4" x14ac:dyDescent="0.25">
      <c r="A18" s="1">
        <v>45496</v>
      </c>
      <c r="B18" s="4">
        <v>5.88</v>
      </c>
      <c r="C18">
        <f t="shared" si="0"/>
        <v>1187.76</v>
      </c>
      <c r="D18">
        <f t="shared" si="1"/>
        <v>1187.8599999999999</v>
      </c>
    </row>
    <row r="19" spans="1:4" x14ac:dyDescent="0.25">
      <c r="A19" s="1">
        <v>45497</v>
      </c>
      <c r="B19" s="4">
        <v>5.9</v>
      </c>
      <c r="C19">
        <f t="shared" si="0"/>
        <v>1191.8000000000002</v>
      </c>
      <c r="D19">
        <f t="shared" si="1"/>
        <v>1191.9000000000001</v>
      </c>
    </row>
    <row r="20" spans="1:4" x14ac:dyDescent="0.25">
      <c r="A20" s="1">
        <v>45498</v>
      </c>
      <c r="B20" s="4">
        <v>5.75</v>
      </c>
      <c r="C20">
        <f t="shared" si="0"/>
        <v>1161.5</v>
      </c>
      <c r="D20">
        <f t="shared" si="1"/>
        <v>1161.5999999999999</v>
      </c>
    </row>
    <row r="21" spans="1:4" x14ac:dyDescent="0.25">
      <c r="A21" s="1">
        <v>45499</v>
      </c>
      <c r="B21" s="4">
        <v>5.65</v>
      </c>
      <c r="C21">
        <f t="shared" si="0"/>
        <v>1141.3000000000002</v>
      </c>
      <c r="D21">
        <f t="shared" si="1"/>
        <v>1141.4000000000001</v>
      </c>
    </row>
    <row r="22" spans="1:4" x14ac:dyDescent="0.25">
      <c r="A22" s="1">
        <v>45502</v>
      </c>
      <c r="B22" s="4">
        <v>5.8</v>
      </c>
      <c r="C22">
        <f t="shared" si="0"/>
        <v>1171.5999999999999</v>
      </c>
      <c r="D22">
        <f t="shared" si="1"/>
        <v>1171.6999999999998</v>
      </c>
    </row>
    <row r="23" spans="1:4" x14ac:dyDescent="0.25">
      <c r="A23" s="1">
        <v>45503</v>
      </c>
      <c r="B23" s="4">
        <v>5.75</v>
      </c>
      <c r="C23">
        <f t="shared" si="0"/>
        <v>1161.5</v>
      </c>
      <c r="D23">
        <f t="shared" si="1"/>
        <v>1161.5999999999999</v>
      </c>
    </row>
    <row r="24" spans="1:4" x14ac:dyDescent="0.25">
      <c r="A24" s="1">
        <v>45504</v>
      </c>
      <c r="B24" s="4">
        <v>5.82</v>
      </c>
      <c r="C24">
        <f t="shared" si="0"/>
        <v>1175.6400000000001</v>
      </c>
      <c r="D24">
        <f t="shared" si="1"/>
        <v>1175.74</v>
      </c>
    </row>
    <row r="25" spans="1:4" x14ac:dyDescent="0.25">
      <c r="A25" s="1">
        <v>45505</v>
      </c>
      <c r="B25" s="4">
        <v>6.03</v>
      </c>
      <c r="C25">
        <f t="shared" si="0"/>
        <v>1218.06</v>
      </c>
      <c r="D25">
        <f t="shared" si="1"/>
        <v>1218.1599999999999</v>
      </c>
    </row>
    <row r="26" spans="1:4" x14ac:dyDescent="0.25">
      <c r="A26" s="1">
        <v>45506</v>
      </c>
      <c r="B26" s="4">
        <v>5.99</v>
      </c>
      <c r="C26">
        <f t="shared" si="0"/>
        <v>1209.98</v>
      </c>
      <c r="D26">
        <f t="shared" si="1"/>
        <v>1210.08</v>
      </c>
    </row>
    <row r="27" spans="1:4" x14ac:dyDescent="0.25">
      <c r="A27" s="1">
        <v>45509</v>
      </c>
      <c r="B27" s="4">
        <v>5.65</v>
      </c>
      <c r="C27">
        <f t="shared" si="0"/>
        <v>1141.3000000000002</v>
      </c>
      <c r="D27">
        <f t="shared" si="1"/>
        <v>1141.4000000000001</v>
      </c>
    </row>
    <row r="28" spans="1:4" x14ac:dyDescent="0.25">
      <c r="A28" s="1">
        <v>45510</v>
      </c>
      <c r="B28" s="4">
        <v>5.85</v>
      </c>
      <c r="C28">
        <f t="shared" si="0"/>
        <v>1181.6999999999998</v>
      </c>
      <c r="D28">
        <f t="shared" si="1"/>
        <v>1181.7999999999997</v>
      </c>
    </row>
    <row r="29" spans="1:4" x14ac:dyDescent="0.25">
      <c r="A29" s="1">
        <v>45511</v>
      </c>
      <c r="B29" s="4">
        <v>5.94</v>
      </c>
      <c r="C29">
        <f t="shared" si="0"/>
        <v>1199.8800000000001</v>
      </c>
      <c r="D29">
        <f t="shared" si="1"/>
        <v>1199.98</v>
      </c>
    </row>
    <row r="30" spans="1:4" x14ac:dyDescent="0.25">
      <c r="A30" s="1">
        <v>45512</v>
      </c>
      <c r="B30" s="4">
        <v>5.82</v>
      </c>
      <c r="C30">
        <f t="shared" si="0"/>
        <v>1175.6400000000001</v>
      </c>
      <c r="D30">
        <f t="shared" si="1"/>
        <v>1175.74</v>
      </c>
    </row>
    <row r="31" spans="1:4" x14ac:dyDescent="0.25">
      <c r="A31" s="1">
        <v>45513</v>
      </c>
      <c r="B31" s="4">
        <v>5.89</v>
      </c>
      <c r="C31">
        <f t="shared" si="0"/>
        <v>1189.78</v>
      </c>
      <c r="D31">
        <f t="shared" si="1"/>
        <v>1189.8799999999999</v>
      </c>
    </row>
    <row r="32" spans="1:4" x14ac:dyDescent="0.25">
      <c r="A32" s="1">
        <v>45516</v>
      </c>
      <c r="B32" s="4">
        <v>6.01</v>
      </c>
      <c r="C32">
        <f t="shared" si="0"/>
        <v>1214.02</v>
      </c>
      <c r="D32">
        <f t="shared" si="1"/>
        <v>1214.1199999999999</v>
      </c>
    </row>
    <row r="33" spans="1:4" x14ac:dyDescent="0.25">
      <c r="A33" s="1">
        <v>45517</v>
      </c>
      <c r="B33" s="4">
        <v>6.15</v>
      </c>
      <c r="C33">
        <f t="shared" si="0"/>
        <v>1242.3000000000002</v>
      </c>
      <c r="D33">
        <f t="shared" si="1"/>
        <v>1242.4000000000001</v>
      </c>
    </row>
    <row r="34" spans="1:4" x14ac:dyDescent="0.25">
      <c r="A34" s="1">
        <v>45518</v>
      </c>
      <c r="B34" s="4">
        <v>6.09</v>
      </c>
      <c r="C34">
        <f t="shared" si="0"/>
        <v>1230.18</v>
      </c>
      <c r="D34">
        <f t="shared" si="1"/>
        <v>1230.28</v>
      </c>
    </row>
    <row r="35" spans="1:4" x14ac:dyDescent="0.25">
      <c r="A35" s="1">
        <v>45519</v>
      </c>
      <c r="B35" s="4">
        <v>6.1</v>
      </c>
      <c r="C35">
        <f t="shared" si="0"/>
        <v>1232.1999999999998</v>
      </c>
      <c r="D35">
        <f t="shared" si="1"/>
        <v>1232.2999999999997</v>
      </c>
    </row>
    <row r="36" spans="1:4" x14ac:dyDescent="0.25">
      <c r="A36" s="1">
        <v>45520</v>
      </c>
      <c r="B36" s="4">
        <v>6.1</v>
      </c>
      <c r="C36">
        <f t="shared" si="0"/>
        <v>1232.1999999999998</v>
      </c>
      <c r="D36">
        <f t="shared" si="1"/>
        <v>1232.2999999999997</v>
      </c>
    </row>
    <row r="37" spans="1:4" x14ac:dyDescent="0.25">
      <c r="A37" s="1">
        <v>45523</v>
      </c>
      <c r="B37" s="4">
        <v>6.07</v>
      </c>
      <c r="C37">
        <f t="shared" si="0"/>
        <v>1226.1400000000001</v>
      </c>
      <c r="D37">
        <f t="shared" si="1"/>
        <v>1226.24</v>
      </c>
    </row>
    <row r="38" spans="1:4" x14ac:dyDescent="0.25">
      <c r="A38" s="1">
        <v>45524</v>
      </c>
      <c r="B38" s="4">
        <v>6.42</v>
      </c>
      <c r="C38">
        <f t="shared" si="0"/>
        <v>1296.8399999999999</v>
      </c>
      <c r="D38">
        <f t="shared" si="1"/>
        <v>1296.9399999999998</v>
      </c>
    </row>
    <row r="39" spans="1:4" x14ac:dyDescent="0.25">
      <c r="A39" s="1">
        <v>45525</v>
      </c>
      <c r="B39" s="4">
        <v>6.34</v>
      </c>
      <c r="C39">
        <f t="shared" si="0"/>
        <v>1280.68</v>
      </c>
      <c r="D39">
        <f t="shared" si="1"/>
        <v>1280.78</v>
      </c>
    </row>
    <row r="40" spans="1:4" x14ac:dyDescent="0.25">
      <c r="A40" s="1">
        <v>45526</v>
      </c>
      <c r="B40" s="4">
        <v>7.05</v>
      </c>
      <c r="C40">
        <f t="shared" si="0"/>
        <v>1424.1</v>
      </c>
      <c r="D40">
        <f t="shared" si="1"/>
        <v>1424.1999999999998</v>
      </c>
    </row>
    <row r="41" spans="1:4" x14ac:dyDescent="0.25">
      <c r="A41" s="1">
        <v>45527</v>
      </c>
      <c r="B41" s="4">
        <v>6.88</v>
      </c>
      <c r="C41">
        <f t="shared" si="0"/>
        <v>1389.76</v>
      </c>
      <c r="D41">
        <f t="shared" si="1"/>
        <v>1389.86</v>
      </c>
    </row>
    <row r="42" spans="1:4" x14ac:dyDescent="0.25">
      <c r="A42" s="1">
        <v>45530</v>
      </c>
      <c r="B42" s="4">
        <v>7</v>
      </c>
      <c r="C42">
        <f t="shared" si="0"/>
        <v>1414</v>
      </c>
      <c r="D42">
        <f t="shared" si="1"/>
        <v>1414.1</v>
      </c>
    </row>
    <row r="43" spans="1:4" x14ac:dyDescent="0.25">
      <c r="A43" s="1">
        <v>45531</v>
      </c>
      <c r="B43" s="4">
        <v>7</v>
      </c>
      <c r="C43">
        <f t="shared" si="0"/>
        <v>1414</v>
      </c>
      <c r="D43">
        <f t="shared" si="1"/>
        <v>1414.1</v>
      </c>
    </row>
    <row r="44" spans="1:4" x14ac:dyDescent="0.25">
      <c r="A44" s="1">
        <v>45532</v>
      </c>
      <c r="B44" s="4">
        <v>6.99</v>
      </c>
      <c r="C44">
        <f t="shared" si="0"/>
        <v>1411.98</v>
      </c>
      <c r="D44">
        <f t="shared" si="1"/>
        <v>1412.08</v>
      </c>
    </row>
    <row r="45" spans="1:4" x14ac:dyDescent="0.25">
      <c r="A45" s="1">
        <v>45533</v>
      </c>
      <c r="B45" s="4">
        <v>6.88</v>
      </c>
      <c r="C45">
        <f t="shared" si="0"/>
        <v>1389.76</v>
      </c>
      <c r="D45">
        <f t="shared" si="1"/>
        <v>1389.86</v>
      </c>
    </row>
    <row r="46" spans="1:4" x14ac:dyDescent="0.25">
      <c r="A46" s="1">
        <v>45534</v>
      </c>
      <c r="B46" s="4">
        <v>6.94</v>
      </c>
      <c r="C46">
        <f t="shared" si="0"/>
        <v>1401.88</v>
      </c>
      <c r="D46">
        <f t="shared" si="1"/>
        <v>1401.98</v>
      </c>
    </row>
    <row r="47" spans="1:4" x14ac:dyDescent="0.25">
      <c r="A47" s="1">
        <v>45537</v>
      </c>
      <c r="B47" s="4">
        <v>7</v>
      </c>
      <c r="C47">
        <f t="shared" si="0"/>
        <v>1414</v>
      </c>
      <c r="D47">
        <f t="shared" si="1"/>
        <v>1414.1</v>
      </c>
    </row>
    <row r="48" spans="1:4" x14ac:dyDescent="0.25">
      <c r="A48" s="1">
        <v>45538</v>
      </c>
      <c r="B48" s="4">
        <v>6.98</v>
      </c>
      <c r="C48">
        <f t="shared" si="0"/>
        <v>1409.96</v>
      </c>
      <c r="D48">
        <f t="shared" si="1"/>
        <v>1410.06</v>
      </c>
    </row>
    <row r="49" spans="1:4" x14ac:dyDescent="0.25">
      <c r="A49" s="1">
        <v>45539</v>
      </c>
      <c r="B49" s="4">
        <v>6.82</v>
      </c>
      <c r="C49">
        <f t="shared" si="0"/>
        <v>1377.64</v>
      </c>
      <c r="D49">
        <f t="shared" si="1"/>
        <v>1377.74</v>
      </c>
    </row>
    <row r="50" spans="1:4" x14ac:dyDescent="0.25">
      <c r="A50" s="1">
        <v>45540</v>
      </c>
      <c r="B50" s="4">
        <v>6.78</v>
      </c>
      <c r="C50">
        <f t="shared" si="0"/>
        <v>1369.56</v>
      </c>
      <c r="D50">
        <f t="shared" si="1"/>
        <v>1369.6599999999999</v>
      </c>
    </row>
    <row r="51" spans="1:4" x14ac:dyDescent="0.25">
      <c r="A51" s="1">
        <v>45541</v>
      </c>
      <c r="B51" s="4">
        <v>6.85</v>
      </c>
      <c r="C51">
        <f t="shared" si="0"/>
        <v>1383.6999999999998</v>
      </c>
      <c r="D51">
        <f t="shared" si="1"/>
        <v>1383.7999999999997</v>
      </c>
    </row>
    <row r="52" spans="1:4" x14ac:dyDescent="0.25">
      <c r="A52" s="1">
        <v>45544</v>
      </c>
      <c r="B52" s="4">
        <v>6.72</v>
      </c>
      <c r="C52">
        <f t="shared" si="0"/>
        <v>1357.44</v>
      </c>
      <c r="D52">
        <f t="shared" si="1"/>
        <v>1357.54</v>
      </c>
    </row>
    <row r="53" spans="1:4" x14ac:dyDescent="0.25">
      <c r="A53" s="1">
        <v>45545</v>
      </c>
      <c r="B53" s="4">
        <v>6.65</v>
      </c>
      <c r="C53">
        <f t="shared" si="0"/>
        <v>1343.3000000000002</v>
      </c>
      <c r="D53">
        <f t="shared" si="1"/>
        <v>1343.4</v>
      </c>
    </row>
    <row r="54" spans="1:4" x14ac:dyDescent="0.25">
      <c r="A54" s="1">
        <v>45546</v>
      </c>
      <c r="B54" s="4">
        <v>6.66</v>
      </c>
      <c r="C54">
        <f t="shared" si="0"/>
        <v>1345.32</v>
      </c>
      <c r="D54">
        <f t="shared" si="1"/>
        <v>1345.4199999999998</v>
      </c>
    </row>
    <row r="55" spans="1:4" x14ac:dyDescent="0.25">
      <c r="A55" s="1">
        <v>45547</v>
      </c>
      <c r="B55" s="4">
        <v>6.7</v>
      </c>
      <c r="C55">
        <f t="shared" si="0"/>
        <v>1353.4</v>
      </c>
      <c r="D55">
        <f t="shared" si="1"/>
        <v>1353.5</v>
      </c>
    </row>
    <row r="56" spans="1:4" x14ac:dyDescent="0.25">
      <c r="A56" s="1">
        <v>45548</v>
      </c>
      <c r="B56" s="4">
        <v>6.67</v>
      </c>
      <c r="C56">
        <f t="shared" si="0"/>
        <v>1347.34</v>
      </c>
      <c r="D56">
        <f t="shared" si="1"/>
        <v>1347.4399999999998</v>
      </c>
    </row>
    <row r="57" spans="1:4" x14ac:dyDescent="0.25">
      <c r="A57" s="1">
        <v>45551</v>
      </c>
      <c r="B57" s="4">
        <v>6.7</v>
      </c>
      <c r="C57">
        <f t="shared" si="0"/>
        <v>1353.4</v>
      </c>
      <c r="D57">
        <f t="shared" si="1"/>
        <v>1353.5</v>
      </c>
    </row>
    <row r="58" spans="1:4" x14ac:dyDescent="0.25">
      <c r="A58" s="1">
        <v>45552</v>
      </c>
      <c r="B58" s="4">
        <v>6.7</v>
      </c>
      <c r="C58">
        <f t="shared" si="0"/>
        <v>1353.4</v>
      </c>
      <c r="D58">
        <f t="shared" si="1"/>
        <v>1353.5</v>
      </c>
    </row>
    <row r="59" spans="1:4" x14ac:dyDescent="0.25">
      <c r="A59" s="1">
        <v>45553</v>
      </c>
      <c r="B59" s="4">
        <v>6.75</v>
      </c>
      <c r="C59">
        <f t="shared" si="0"/>
        <v>1363.5</v>
      </c>
      <c r="D59">
        <f t="shared" si="1"/>
        <v>1363.6</v>
      </c>
    </row>
    <row r="60" spans="1:4" x14ac:dyDescent="0.25">
      <c r="A60" s="1">
        <v>45554</v>
      </c>
      <c r="B60" s="4">
        <v>6.76</v>
      </c>
      <c r="C60">
        <f t="shared" si="0"/>
        <v>1365.52</v>
      </c>
      <c r="D60">
        <f t="shared" si="1"/>
        <v>1365.62</v>
      </c>
    </row>
    <row r="61" spans="1:4" x14ac:dyDescent="0.25">
      <c r="A61" s="1">
        <v>45555</v>
      </c>
      <c r="B61" s="4">
        <v>6.91</v>
      </c>
      <c r="C61">
        <f t="shared" si="0"/>
        <v>1395.82</v>
      </c>
      <c r="D61">
        <f t="shared" si="1"/>
        <v>1395.9199999999998</v>
      </c>
    </row>
    <row r="62" spans="1:4" x14ac:dyDescent="0.25">
      <c r="A62" s="1">
        <v>45558</v>
      </c>
      <c r="B62" s="4">
        <v>7.04</v>
      </c>
      <c r="C62">
        <f t="shared" si="0"/>
        <v>1422.08</v>
      </c>
      <c r="D62">
        <f t="shared" si="1"/>
        <v>1422.1799999999998</v>
      </c>
    </row>
    <row r="63" spans="1:4" x14ac:dyDescent="0.25">
      <c r="A63" s="1">
        <v>45559</v>
      </c>
      <c r="B63" s="4">
        <v>7.08</v>
      </c>
      <c r="C63">
        <f t="shared" si="0"/>
        <v>1430.16</v>
      </c>
      <c r="D63">
        <f t="shared" si="1"/>
        <v>1430.26</v>
      </c>
    </row>
    <row r="64" spans="1:4" x14ac:dyDescent="0.25">
      <c r="A64" s="1">
        <v>45560</v>
      </c>
      <c r="B64" s="4">
        <v>7.09</v>
      </c>
      <c r="C64">
        <f t="shared" si="0"/>
        <v>1432.18</v>
      </c>
      <c r="D64">
        <f t="shared" si="1"/>
        <v>1432.28</v>
      </c>
    </row>
    <row r="65" spans="1:4" x14ac:dyDescent="0.25">
      <c r="A65" s="1">
        <v>45561</v>
      </c>
      <c r="B65" s="4">
        <v>7.3</v>
      </c>
      <c r="C65">
        <f t="shared" si="0"/>
        <v>1474.6</v>
      </c>
      <c r="D65">
        <f t="shared" si="1"/>
        <v>1474.6999999999998</v>
      </c>
    </row>
    <row r="66" spans="1:4" x14ac:dyDescent="0.25">
      <c r="A66" s="1">
        <v>45562</v>
      </c>
      <c r="B66" s="4">
        <v>7.31</v>
      </c>
      <c r="C66">
        <f t="shared" si="0"/>
        <v>1476.62</v>
      </c>
      <c r="D66">
        <f t="shared" si="1"/>
        <v>1476.7199999999998</v>
      </c>
    </row>
    <row r="67" spans="1:4" x14ac:dyDescent="0.25">
      <c r="A67" s="1">
        <v>45565</v>
      </c>
      <c r="B67" s="4">
        <v>7.5</v>
      </c>
      <c r="C67">
        <f t="shared" ref="C67:C130" si="2">$G$9*B67</f>
        <v>1515</v>
      </c>
      <c r="D67">
        <f t="shared" si="1"/>
        <v>1515.1</v>
      </c>
    </row>
    <row r="68" spans="1:4" x14ac:dyDescent="0.25">
      <c r="A68" s="1">
        <v>45566</v>
      </c>
      <c r="B68" s="4">
        <v>7.64</v>
      </c>
      <c r="C68">
        <f t="shared" si="2"/>
        <v>1543.28</v>
      </c>
      <c r="D68">
        <f t="shared" ref="D68:D131" si="3">C68+$G$2</f>
        <v>1543.3799999999999</v>
      </c>
    </row>
    <row r="69" spans="1:4" x14ac:dyDescent="0.25">
      <c r="A69" s="1">
        <v>45567</v>
      </c>
      <c r="B69" s="4">
        <v>7.7</v>
      </c>
      <c r="C69">
        <f t="shared" si="2"/>
        <v>1555.4</v>
      </c>
      <c r="D69">
        <f t="shared" si="3"/>
        <v>1555.5</v>
      </c>
    </row>
    <row r="70" spans="1:4" x14ac:dyDescent="0.25">
      <c r="A70" s="1">
        <v>45568</v>
      </c>
      <c r="B70" s="4">
        <v>7.75</v>
      </c>
      <c r="C70">
        <f t="shared" si="2"/>
        <v>1565.5</v>
      </c>
      <c r="D70">
        <f t="shared" si="3"/>
        <v>1565.6</v>
      </c>
    </row>
    <row r="71" spans="1:4" x14ac:dyDescent="0.25">
      <c r="A71" s="1">
        <v>45569</v>
      </c>
      <c r="B71" s="4">
        <v>7.6</v>
      </c>
      <c r="C71">
        <f t="shared" si="2"/>
        <v>1535.1999999999998</v>
      </c>
      <c r="D71">
        <f t="shared" si="3"/>
        <v>1535.2999999999997</v>
      </c>
    </row>
    <row r="72" spans="1:4" x14ac:dyDescent="0.25">
      <c r="A72" s="1">
        <v>45572</v>
      </c>
      <c r="B72" s="4">
        <v>7.7</v>
      </c>
      <c r="C72">
        <f t="shared" si="2"/>
        <v>1555.4</v>
      </c>
      <c r="D72">
        <f t="shared" si="3"/>
        <v>1555.5</v>
      </c>
    </row>
    <row r="73" spans="1:4" x14ac:dyDescent="0.25">
      <c r="A73" s="1">
        <v>45573</v>
      </c>
      <c r="B73" s="4">
        <v>7.65</v>
      </c>
      <c r="C73">
        <f t="shared" si="2"/>
        <v>1545.3000000000002</v>
      </c>
      <c r="D73">
        <f t="shared" si="3"/>
        <v>1545.4</v>
      </c>
    </row>
    <row r="74" spans="1:4" x14ac:dyDescent="0.25">
      <c r="A74" s="1">
        <v>45574</v>
      </c>
      <c r="B74" s="4">
        <v>7.75</v>
      </c>
      <c r="C74">
        <f t="shared" si="2"/>
        <v>1565.5</v>
      </c>
      <c r="D74">
        <f t="shared" si="3"/>
        <v>1565.6</v>
      </c>
    </row>
    <row r="75" spans="1:4" x14ac:dyDescent="0.25">
      <c r="A75" s="1">
        <v>45575</v>
      </c>
      <c r="B75" s="4">
        <v>7.7</v>
      </c>
      <c r="C75">
        <f t="shared" si="2"/>
        <v>1555.4</v>
      </c>
      <c r="D75">
        <f t="shared" si="3"/>
        <v>1555.5</v>
      </c>
    </row>
    <row r="76" spans="1:4" x14ac:dyDescent="0.25">
      <c r="A76" s="1">
        <v>45576</v>
      </c>
      <c r="B76" s="4">
        <v>7.71</v>
      </c>
      <c r="C76">
        <f t="shared" si="2"/>
        <v>1557.42</v>
      </c>
      <c r="D76">
        <f t="shared" si="3"/>
        <v>1557.52</v>
      </c>
    </row>
    <row r="77" spans="1:4" x14ac:dyDescent="0.25">
      <c r="A77" s="1">
        <v>45579</v>
      </c>
      <c r="B77" s="4">
        <v>7.62</v>
      </c>
      <c r="C77">
        <f t="shared" si="2"/>
        <v>1539.24</v>
      </c>
      <c r="D77">
        <f t="shared" si="3"/>
        <v>1539.34</v>
      </c>
    </row>
    <row r="78" spans="1:4" x14ac:dyDescent="0.25">
      <c r="A78" s="1">
        <v>45580</v>
      </c>
      <c r="B78" s="4">
        <v>8.0299999999999994</v>
      </c>
      <c r="C78">
        <f t="shared" si="2"/>
        <v>1622.06</v>
      </c>
      <c r="D78">
        <f t="shared" si="3"/>
        <v>1622.1599999999999</v>
      </c>
    </row>
    <row r="79" spans="1:4" x14ac:dyDescent="0.25">
      <c r="A79" s="1">
        <v>45581</v>
      </c>
      <c r="B79" s="4">
        <v>8.1199999999999992</v>
      </c>
      <c r="C79">
        <f t="shared" si="2"/>
        <v>1640.2399999999998</v>
      </c>
      <c r="D79">
        <f t="shared" si="3"/>
        <v>1640.3399999999997</v>
      </c>
    </row>
    <row r="80" spans="1:4" x14ac:dyDescent="0.25">
      <c r="A80" s="1">
        <v>45582</v>
      </c>
      <c r="B80" s="4">
        <v>8.09</v>
      </c>
      <c r="C80">
        <f t="shared" si="2"/>
        <v>1634.18</v>
      </c>
      <c r="D80">
        <f t="shared" si="3"/>
        <v>1634.28</v>
      </c>
    </row>
    <row r="81" spans="1:4" x14ac:dyDescent="0.25">
      <c r="A81" s="1">
        <v>45583</v>
      </c>
      <c r="B81" s="4">
        <v>8.16</v>
      </c>
      <c r="C81">
        <f t="shared" si="2"/>
        <v>1648.32</v>
      </c>
      <c r="D81">
        <f t="shared" si="3"/>
        <v>1648.4199999999998</v>
      </c>
    </row>
    <row r="82" spans="1:4" x14ac:dyDescent="0.25">
      <c r="A82" s="1">
        <v>45586</v>
      </c>
      <c r="B82" s="4">
        <v>8.25</v>
      </c>
      <c r="C82">
        <f t="shared" si="2"/>
        <v>1666.5</v>
      </c>
      <c r="D82">
        <f t="shared" si="3"/>
        <v>1666.6</v>
      </c>
    </row>
    <row r="83" spans="1:4" x14ac:dyDescent="0.25">
      <c r="A83" s="1">
        <v>45587</v>
      </c>
      <c r="B83" s="4">
        <v>8.25</v>
      </c>
      <c r="C83">
        <f t="shared" si="2"/>
        <v>1666.5</v>
      </c>
      <c r="D83">
        <f t="shared" si="3"/>
        <v>1666.6</v>
      </c>
    </row>
    <row r="84" spans="1:4" x14ac:dyDescent="0.25">
      <c r="A84" s="1">
        <v>45588</v>
      </c>
      <c r="B84" s="4">
        <v>8.2100000000000009</v>
      </c>
      <c r="C84">
        <f t="shared" si="2"/>
        <v>1658.42</v>
      </c>
      <c r="D84">
        <f t="shared" si="3"/>
        <v>1658.52</v>
      </c>
    </row>
    <row r="85" spans="1:4" x14ac:dyDescent="0.25">
      <c r="A85" s="1">
        <v>45589</v>
      </c>
      <c r="B85" s="4">
        <v>7.96</v>
      </c>
      <c r="C85">
        <f t="shared" si="2"/>
        <v>1607.92</v>
      </c>
      <c r="D85">
        <f t="shared" si="3"/>
        <v>1608.02</v>
      </c>
    </row>
    <row r="86" spans="1:4" x14ac:dyDescent="0.25">
      <c r="A86" s="1">
        <v>45590</v>
      </c>
      <c r="B86" s="4">
        <v>7.98</v>
      </c>
      <c r="C86">
        <f t="shared" si="2"/>
        <v>1611.96</v>
      </c>
      <c r="D86">
        <f t="shared" si="3"/>
        <v>1612.06</v>
      </c>
    </row>
    <row r="87" spans="1:4" x14ac:dyDescent="0.25">
      <c r="A87" s="1">
        <v>45593</v>
      </c>
      <c r="B87" s="4">
        <v>8.19</v>
      </c>
      <c r="C87">
        <f t="shared" si="2"/>
        <v>1654.3799999999999</v>
      </c>
      <c r="D87">
        <f t="shared" si="3"/>
        <v>1654.4799999999998</v>
      </c>
    </row>
    <row r="88" spans="1:4" x14ac:dyDescent="0.25">
      <c r="A88" s="1">
        <v>45594</v>
      </c>
      <c r="B88" s="4">
        <v>8.33</v>
      </c>
      <c r="C88">
        <f t="shared" si="2"/>
        <v>1682.66</v>
      </c>
      <c r="D88">
        <f t="shared" si="3"/>
        <v>1682.76</v>
      </c>
    </row>
    <row r="89" spans="1:4" x14ac:dyDescent="0.25">
      <c r="A89" s="1">
        <v>45595</v>
      </c>
      <c r="B89" s="4">
        <v>7.99</v>
      </c>
      <c r="C89">
        <f t="shared" si="2"/>
        <v>1613.98</v>
      </c>
      <c r="D89">
        <f t="shared" si="3"/>
        <v>1614.08</v>
      </c>
    </row>
    <row r="90" spans="1:4" x14ac:dyDescent="0.25">
      <c r="A90" s="1">
        <v>45596</v>
      </c>
      <c r="B90" s="4">
        <v>7.88</v>
      </c>
      <c r="C90">
        <f t="shared" si="2"/>
        <v>1591.76</v>
      </c>
      <c r="D90">
        <f t="shared" si="3"/>
        <v>1591.86</v>
      </c>
    </row>
    <row r="91" spans="1:4" x14ac:dyDescent="0.25">
      <c r="A91" s="1">
        <v>45597</v>
      </c>
      <c r="B91" s="4">
        <v>7.8</v>
      </c>
      <c r="C91">
        <f t="shared" si="2"/>
        <v>1575.6</v>
      </c>
      <c r="D91">
        <f t="shared" si="3"/>
        <v>1575.6999999999998</v>
      </c>
    </row>
    <row r="92" spans="1:4" x14ac:dyDescent="0.25">
      <c r="A92" s="1">
        <v>45600</v>
      </c>
      <c r="B92" s="4">
        <v>7.65</v>
      </c>
      <c r="C92">
        <f t="shared" si="2"/>
        <v>1545.3000000000002</v>
      </c>
      <c r="D92">
        <f t="shared" si="3"/>
        <v>1545.4</v>
      </c>
    </row>
    <row r="93" spans="1:4" x14ac:dyDescent="0.25">
      <c r="A93" s="1">
        <v>45601</v>
      </c>
      <c r="B93" s="4">
        <v>7.64</v>
      </c>
      <c r="C93">
        <f t="shared" si="2"/>
        <v>1543.28</v>
      </c>
      <c r="D93">
        <f t="shared" si="3"/>
        <v>1543.3799999999999</v>
      </c>
    </row>
    <row r="94" spans="1:4" x14ac:dyDescent="0.25">
      <c r="A94" s="1">
        <v>45602</v>
      </c>
      <c r="B94" s="4">
        <v>7.68</v>
      </c>
      <c r="C94">
        <f t="shared" si="2"/>
        <v>1551.36</v>
      </c>
      <c r="D94">
        <f t="shared" si="3"/>
        <v>1551.4599999999998</v>
      </c>
    </row>
    <row r="95" spans="1:4" x14ac:dyDescent="0.25">
      <c r="A95" s="1">
        <v>45603</v>
      </c>
      <c r="B95" s="4">
        <v>7.61</v>
      </c>
      <c r="C95">
        <f t="shared" si="2"/>
        <v>1537.22</v>
      </c>
      <c r="D95">
        <f t="shared" si="3"/>
        <v>1537.32</v>
      </c>
    </row>
    <row r="96" spans="1:4" x14ac:dyDescent="0.25">
      <c r="A96" s="1">
        <v>45604</v>
      </c>
      <c r="B96" s="4">
        <v>7.73</v>
      </c>
      <c r="C96">
        <f t="shared" si="2"/>
        <v>1561.46</v>
      </c>
      <c r="D96">
        <f t="shared" si="3"/>
        <v>1561.56</v>
      </c>
    </row>
    <row r="97" spans="1:4" x14ac:dyDescent="0.25">
      <c r="A97" s="1">
        <v>45607</v>
      </c>
      <c r="B97" s="4">
        <v>7.73</v>
      </c>
      <c r="C97">
        <f t="shared" si="2"/>
        <v>1561.46</v>
      </c>
      <c r="D97">
        <f t="shared" si="3"/>
        <v>1561.56</v>
      </c>
    </row>
    <row r="98" spans="1:4" x14ac:dyDescent="0.25">
      <c r="A98" s="1">
        <v>45608</v>
      </c>
      <c r="B98" s="4">
        <v>7.83</v>
      </c>
      <c r="C98">
        <f t="shared" si="2"/>
        <v>1581.66</v>
      </c>
      <c r="D98">
        <f t="shared" si="3"/>
        <v>1581.76</v>
      </c>
    </row>
    <row r="99" spans="1:4" x14ac:dyDescent="0.25">
      <c r="A99" s="1">
        <v>45609</v>
      </c>
      <c r="B99" s="4">
        <v>7.78</v>
      </c>
      <c r="C99">
        <f t="shared" si="2"/>
        <v>1571.56</v>
      </c>
      <c r="D99">
        <f t="shared" si="3"/>
        <v>1571.6599999999999</v>
      </c>
    </row>
    <row r="100" spans="1:4" x14ac:dyDescent="0.25">
      <c r="A100" s="1">
        <v>45610</v>
      </c>
      <c r="B100" s="4">
        <v>7.75</v>
      </c>
      <c r="C100">
        <f t="shared" si="2"/>
        <v>1565.5</v>
      </c>
      <c r="D100">
        <f t="shared" si="3"/>
        <v>1565.6</v>
      </c>
    </row>
    <row r="101" spans="1:4" x14ac:dyDescent="0.25">
      <c r="A101" s="1">
        <v>45611</v>
      </c>
      <c r="B101" s="4">
        <v>7.92</v>
      </c>
      <c r="C101">
        <f t="shared" si="2"/>
        <v>1599.84</v>
      </c>
      <c r="D101">
        <f t="shared" si="3"/>
        <v>1599.9399999999998</v>
      </c>
    </row>
    <row r="102" spans="1:4" x14ac:dyDescent="0.25">
      <c r="A102" s="1">
        <v>45614</v>
      </c>
      <c r="B102" s="4">
        <v>7.91</v>
      </c>
      <c r="C102">
        <f t="shared" si="2"/>
        <v>1597.82</v>
      </c>
      <c r="D102">
        <f t="shared" si="3"/>
        <v>1597.9199999999998</v>
      </c>
    </row>
    <row r="103" spans="1:4" x14ac:dyDescent="0.25">
      <c r="A103" s="1">
        <v>45615</v>
      </c>
      <c r="B103" s="4">
        <v>8.01</v>
      </c>
      <c r="C103">
        <f t="shared" si="2"/>
        <v>1618.02</v>
      </c>
      <c r="D103">
        <f t="shared" si="3"/>
        <v>1618.12</v>
      </c>
    </row>
    <row r="104" spans="1:4" x14ac:dyDescent="0.25">
      <c r="A104" s="1">
        <v>45616</v>
      </c>
      <c r="B104" s="4">
        <v>7.77</v>
      </c>
      <c r="C104">
        <f t="shared" si="2"/>
        <v>1569.54</v>
      </c>
      <c r="D104">
        <f t="shared" si="3"/>
        <v>1569.6399999999999</v>
      </c>
    </row>
    <row r="105" spans="1:4" x14ac:dyDescent="0.25">
      <c r="A105" s="1">
        <v>45617</v>
      </c>
      <c r="B105" s="4">
        <v>7.46</v>
      </c>
      <c r="C105">
        <f t="shared" si="2"/>
        <v>1506.92</v>
      </c>
      <c r="D105">
        <f t="shared" si="3"/>
        <v>1507.02</v>
      </c>
    </row>
    <row r="106" spans="1:4" x14ac:dyDescent="0.25">
      <c r="A106" s="1">
        <v>45618</v>
      </c>
      <c r="B106" s="4">
        <v>7.44</v>
      </c>
      <c r="C106">
        <f t="shared" si="2"/>
        <v>1502.88</v>
      </c>
      <c r="D106">
        <f t="shared" si="3"/>
        <v>1502.98</v>
      </c>
    </row>
    <row r="107" spans="1:4" x14ac:dyDescent="0.25">
      <c r="A107" s="1">
        <v>45621</v>
      </c>
      <c r="B107" s="4">
        <v>7.46</v>
      </c>
      <c r="C107">
        <f t="shared" si="2"/>
        <v>1506.92</v>
      </c>
      <c r="D107">
        <f t="shared" si="3"/>
        <v>1507.02</v>
      </c>
    </row>
    <row r="108" spans="1:4" x14ac:dyDescent="0.25">
      <c r="A108" s="1">
        <v>45622</v>
      </c>
      <c r="B108" s="4">
        <v>7.66</v>
      </c>
      <c r="C108">
        <f t="shared" si="2"/>
        <v>1547.32</v>
      </c>
      <c r="D108">
        <f t="shared" si="3"/>
        <v>1547.4199999999998</v>
      </c>
    </row>
    <row r="109" spans="1:4" x14ac:dyDescent="0.25">
      <c r="A109" s="1">
        <v>45623</v>
      </c>
      <c r="B109" s="4">
        <v>7.66</v>
      </c>
      <c r="C109">
        <f t="shared" si="2"/>
        <v>1547.32</v>
      </c>
      <c r="D109">
        <f t="shared" si="3"/>
        <v>1547.4199999999998</v>
      </c>
    </row>
    <row r="110" spans="1:4" x14ac:dyDescent="0.25">
      <c r="A110" s="1">
        <v>45624</v>
      </c>
      <c r="B110" s="4">
        <v>7.55</v>
      </c>
      <c r="C110">
        <f t="shared" si="2"/>
        <v>1525.1</v>
      </c>
      <c r="D110">
        <f t="shared" si="3"/>
        <v>1525.1999999999998</v>
      </c>
    </row>
    <row r="111" spans="1:4" x14ac:dyDescent="0.25">
      <c r="A111" s="1">
        <v>45625</v>
      </c>
      <c r="B111" s="4">
        <v>7.8</v>
      </c>
      <c r="C111">
        <f t="shared" si="2"/>
        <v>1575.6</v>
      </c>
      <c r="D111">
        <f t="shared" si="3"/>
        <v>1575.6999999999998</v>
      </c>
    </row>
    <row r="112" spans="1:4" x14ac:dyDescent="0.25">
      <c r="A112" s="1">
        <v>45628</v>
      </c>
      <c r="B112" s="4">
        <v>7.66</v>
      </c>
      <c r="C112">
        <f t="shared" si="2"/>
        <v>1547.32</v>
      </c>
      <c r="D112">
        <f t="shared" si="3"/>
        <v>1547.4199999999998</v>
      </c>
    </row>
    <row r="113" spans="1:4" x14ac:dyDescent="0.25">
      <c r="A113" s="1">
        <v>45629</v>
      </c>
      <c r="B113" s="4">
        <v>7.9</v>
      </c>
      <c r="C113">
        <f t="shared" si="2"/>
        <v>1595.8000000000002</v>
      </c>
      <c r="D113">
        <f t="shared" si="3"/>
        <v>1595.9</v>
      </c>
    </row>
    <row r="114" spans="1:4" x14ac:dyDescent="0.25">
      <c r="A114" s="1">
        <v>45630</v>
      </c>
      <c r="B114" s="4">
        <v>8.08</v>
      </c>
      <c r="C114">
        <f t="shared" si="2"/>
        <v>1632.16</v>
      </c>
      <c r="D114">
        <f t="shared" si="3"/>
        <v>1632.26</v>
      </c>
    </row>
    <row r="115" spans="1:4" x14ac:dyDescent="0.25">
      <c r="A115" s="1">
        <v>45631</v>
      </c>
      <c r="B115" s="4">
        <v>8.14</v>
      </c>
      <c r="C115">
        <f t="shared" si="2"/>
        <v>1644.2800000000002</v>
      </c>
      <c r="D115">
        <f t="shared" si="3"/>
        <v>1644.38</v>
      </c>
    </row>
    <row r="116" spans="1:4" x14ac:dyDescent="0.25">
      <c r="A116" s="1">
        <v>45632</v>
      </c>
      <c r="B116" s="4">
        <v>8.06</v>
      </c>
      <c r="C116">
        <f t="shared" si="2"/>
        <v>1628.1200000000001</v>
      </c>
      <c r="D116">
        <f t="shared" si="3"/>
        <v>1628.22</v>
      </c>
    </row>
    <row r="117" spans="1:4" x14ac:dyDescent="0.25">
      <c r="A117" s="1">
        <v>45635</v>
      </c>
      <c r="B117" s="4">
        <v>8</v>
      </c>
      <c r="C117">
        <f t="shared" si="2"/>
        <v>1616</v>
      </c>
      <c r="D117">
        <f t="shared" si="3"/>
        <v>1616.1</v>
      </c>
    </row>
    <row r="118" spans="1:4" x14ac:dyDescent="0.25">
      <c r="A118" s="1">
        <v>45636</v>
      </c>
      <c r="B118" s="4">
        <v>7.82</v>
      </c>
      <c r="C118">
        <f t="shared" si="2"/>
        <v>1579.64</v>
      </c>
      <c r="D118">
        <f t="shared" si="3"/>
        <v>1579.74</v>
      </c>
    </row>
    <row r="119" spans="1:4" x14ac:dyDescent="0.25">
      <c r="A119" s="1">
        <v>45637</v>
      </c>
      <c r="B119" s="4">
        <v>7.74</v>
      </c>
      <c r="C119">
        <f t="shared" si="2"/>
        <v>1563.48</v>
      </c>
      <c r="D119">
        <f t="shared" si="3"/>
        <v>1563.58</v>
      </c>
    </row>
    <row r="120" spans="1:4" x14ac:dyDescent="0.25">
      <c r="A120" s="1">
        <v>45638</v>
      </c>
      <c r="B120" s="4">
        <v>7.79</v>
      </c>
      <c r="C120">
        <f t="shared" si="2"/>
        <v>1573.58</v>
      </c>
      <c r="D120">
        <f t="shared" si="3"/>
        <v>1573.6799999999998</v>
      </c>
    </row>
    <row r="121" spans="1:4" x14ac:dyDescent="0.25">
      <c r="A121" s="1">
        <v>45639</v>
      </c>
      <c r="B121" s="4">
        <v>7.73</v>
      </c>
      <c r="C121">
        <f t="shared" si="2"/>
        <v>1561.46</v>
      </c>
      <c r="D121">
        <f t="shared" si="3"/>
        <v>1561.56</v>
      </c>
    </row>
    <row r="122" spans="1:4" x14ac:dyDescent="0.25">
      <c r="A122" s="1">
        <v>45642</v>
      </c>
      <c r="B122" s="4">
        <v>7.78</v>
      </c>
      <c r="C122">
        <f t="shared" si="2"/>
        <v>1571.56</v>
      </c>
      <c r="D122">
        <f t="shared" si="3"/>
        <v>1571.6599999999999</v>
      </c>
    </row>
    <row r="123" spans="1:4" x14ac:dyDescent="0.25">
      <c r="A123" s="1">
        <v>45643</v>
      </c>
      <c r="B123" s="4">
        <v>8.02</v>
      </c>
      <c r="C123">
        <f t="shared" si="2"/>
        <v>1620.04</v>
      </c>
      <c r="D123">
        <f t="shared" si="3"/>
        <v>1620.1399999999999</v>
      </c>
    </row>
    <row r="124" spans="1:4" x14ac:dyDescent="0.25">
      <c r="A124" s="1">
        <v>45644</v>
      </c>
      <c r="B124" s="4">
        <v>8.0399999999999991</v>
      </c>
      <c r="C124">
        <f t="shared" si="2"/>
        <v>1624.08</v>
      </c>
      <c r="D124">
        <f t="shared" si="3"/>
        <v>1624.1799999999998</v>
      </c>
    </row>
    <row r="125" spans="1:4" x14ac:dyDescent="0.25">
      <c r="A125" s="1">
        <v>45645</v>
      </c>
      <c r="B125" s="4">
        <v>7.94</v>
      </c>
      <c r="C125">
        <f t="shared" si="2"/>
        <v>1603.88</v>
      </c>
      <c r="D125">
        <f t="shared" si="3"/>
        <v>1603.98</v>
      </c>
    </row>
    <row r="126" spans="1:4" x14ac:dyDescent="0.25">
      <c r="A126" s="1">
        <v>45646</v>
      </c>
      <c r="B126" s="4">
        <v>7.97</v>
      </c>
      <c r="C126">
        <f t="shared" si="2"/>
        <v>1609.94</v>
      </c>
      <c r="D126">
        <f t="shared" si="3"/>
        <v>1610.04</v>
      </c>
    </row>
    <row r="127" spans="1:4" x14ac:dyDescent="0.25">
      <c r="A127" s="1">
        <v>45649</v>
      </c>
      <c r="B127" s="4">
        <v>8.02</v>
      </c>
      <c r="C127">
        <f t="shared" si="2"/>
        <v>1620.04</v>
      </c>
      <c r="D127">
        <f t="shared" si="3"/>
        <v>1620.1399999999999</v>
      </c>
    </row>
    <row r="128" spans="1:4" x14ac:dyDescent="0.25">
      <c r="A128" s="1">
        <v>45650</v>
      </c>
      <c r="B128" s="4">
        <v>8.14</v>
      </c>
      <c r="C128">
        <f t="shared" si="2"/>
        <v>1644.2800000000002</v>
      </c>
      <c r="D128">
        <f t="shared" si="3"/>
        <v>1644.38</v>
      </c>
    </row>
    <row r="129" spans="1:4" x14ac:dyDescent="0.25">
      <c r="A129" s="1">
        <v>45653</v>
      </c>
      <c r="B129" s="4">
        <v>8.39</v>
      </c>
      <c r="C129">
        <f t="shared" si="2"/>
        <v>1694.7800000000002</v>
      </c>
      <c r="D129">
        <f t="shared" si="3"/>
        <v>1694.88</v>
      </c>
    </row>
    <row r="130" spans="1:4" x14ac:dyDescent="0.25">
      <c r="A130" s="1">
        <v>45656</v>
      </c>
      <c r="B130" s="4">
        <v>8.31</v>
      </c>
      <c r="C130">
        <f t="shared" si="2"/>
        <v>1678.6200000000001</v>
      </c>
      <c r="D130">
        <f t="shared" si="3"/>
        <v>1678.72</v>
      </c>
    </row>
    <row r="131" spans="1:4" x14ac:dyDescent="0.25">
      <c r="A131" s="1">
        <v>45657</v>
      </c>
      <c r="B131" s="4">
        <v>8.58</v>
      </c>
      <c r="C131">
        <f t="shared" ref="C131:C194" si="4">$G$9*B131</f>
        <v>1733.16</v>
      </c>
      <c r="D131">
        <f t="shared" si="3"/>
        <v>1733.26</v>
      </c>
    </row>
    <row r="132" spans="1:4" x14ac:dyDescent="0.25">
      <c r="A132" s="1">
        <v>45659</v>
      </c>
      <c r="B132" s="4">
        <v>8.1</v>
      </c>
      <c r="C132">
        <f t="shared" si="4"/>
        <v>1636.1999999999998</v>
      </c>
      <c r="D132">
        <f t="shared" ref="D132:D195" si="5">C132+$G$2</f>
        <v>1636.2999999999997</v>
      </c>
    </row>
    <row r="133" spans="1:4" x14ac:dyDescent="0.25">
      <c r="A133" s="1">
        <v>45660</v>
      </c>
      <c r="B133" s="4">
        <v>8.18</v>
      </c>
      <c r="C133">
        <f t="shared" si="4"/>
        <v>1652.36</v>
      </c>
      <c r="D133">
        <f t="shared" si="5"/>
        <v>1652.4599999999998</v>
      </c>
    </row>
    <row r="134" spans="1:4" x14ac:dyDescent="0.25">
      <c r="A134" s="1">
        <v>45663</v>
      </c>
      <c r="B134" s="4">
        <v>8.25</v>
      </c>
      <c r="C134">
        <f t="shared" si="4"/>
        <v>1666.5</v>
      </c>
      <c r="D134">
        <f t="shared" si="5"/>
        <v>1666.6</v>
      </c>
    </row>
    <row r="135" spans="1:4" x14ac:dyDescent="0.25">
      <c r="A135" s="1">
        <v>45664</v>
      </c>
      <c r="B135" s="4">
        <v>8.44</v>
      </c>
      <c r="C135">
        <f t="shared" si="4"/>
        <v>1704.8799999999999</v>
      </c>
      <c r="D135">
        <f t="shared" si="5"/>
        <v>1704.9799999999998</v>
      </c>
    </row>
    <row r="136" spans="1:4" x14ac:dyDescent="0.25">
      <c r="A136" s="1">
        <v>45665</v>
      </c>
      <c r="B136" s="4">
        <v>8.3800000000000008</v>
      </c>
      <c r="C136">
        <f t="shared" si="4"/>
        <v>1692.7600000000002</v>
      </c>
      <c r="D136">
        <f t="shared" si="5"/>
        <v>1692.8600000000001</v>
      </c>
    </row>
    <row r="137" spans="1:4" x14ac:dyDescent="0.25">
      <c r="A137" s="1">
        <v>45666</v>
      </c>
      <c r="B137" s="4">
        <v>8.43</v>
      </c>
      <c r="C137">
        <f t="shared" si="4"/>
        <v>1702.86</v>
      </c>
      <c r="D137">
        <f t="shared" si="5"/>
        <v>1702.9599999999998</v>
      </c>
    </row>
    <row r="138" spans="1:4" x14ac:dyDescent="0.25">
      <c r="A138" s="1">
        <v>45667</v>
      </c>
      <c r="B138" s="4">
        <v>8.4</v>
      </c>
      <c r="C138">
        <f t="shared" si="4"/>
        <v>1696.8000000000002</v>
      </c>
      <c r="D138">
        <f t="shared" si="5"/>
        <v>1696.9</v>
      </c>
    </row>
    <row r="139" spans="1:4" x14ac:dyDescent="0.25">
      <c r="A139" s="1">
        <v>45670</v>
      </c>
      <c r="B139" s="4">
        <v>8.11</v>
      </c>
      <c r="C139">
        <f t="shared" si="4"/>
        <v>1638.2199999999998</v>
      </c>
      <c r="D139">
        <f t="shared" si="5"/>
        <v>1638.3199999999997</v>
      </c>
    </row>
    <row r="140" spans="1:4" x14ac:dyDescent="0.25">
      <c r="A140" s="1">
        <v>45671</v>
      </c>
      <c r="B140" s="4">
        <v>8.0299999999999994</v>
      </c>
      <c r="C140">
        <f t="shared" si="4"/>
        <v>1622.06</v>
      </c>
      <c r="D140">
        <f t="shared" si="5"/>
        <v>1622.1599999999999</v>
      </c>
    </row>
    <row r="141" spans="1:4" x14ac:dyDescent="0.25">
      <c r="A141" s="1">
        <v>45672</v>
      </c>
      <c r="B141" s="4">
        <v>7.8</v>
      </c>
      <c r="C141">
        <f t="shared" si="4"/>
        <v>1575.6</v>
      </c>
      <c r="D141">
        <f t="shared" si="5"/>
        <v>1575.6999999999998</v>
      </c>
    </row>
    <row r="142" spans="1:4" x14ac:dyDescent="0.25">
      <c r="A142" s="1">
        <v>45673</v>
      </c>
      <c r="B142" s="4">
        <v>7.76</v>
      </c>
      <c r="C142">
        <f t="shared" si="4"/>
        <v>1567.52</v>
      </c>
      <c r="D142">
        <f t="shared" si="5"/>
        <v>1567.62</v>
      </c>
    </row>
    <row r="143" spans="1:4" x14ac:dyDescent="0.25">
      <c r="A143" s="1">
        <v>45674</v>
      </c>
      <c r="B143" s="4">
        <v>7.72</v>
      </c>
      <c r="C143">
        <f t="shared" si="4"/>
        <v>1559.44</v>
      </c>
      <c r="D143">
        <f t="shared" si="5"/>
        <v>1559.54</v>
      </c>
    </row>
    <row r="144" spans="1:4" x14ac:dyDescent="0.25">
      <c r="A144" s="1">
        <v>45677</v>
      </c>
      <c r="B144" s="4">
        <v>7.91</v>
      </c>
      <c r="C144">
        <f t="shared" si="4"/>
        <v>1597.82</v>
      </c>
      <c r="D144">
        <f t="shared" si="5"/>
        <v>1597.9199999999998</v>
      </c>
    </row>
    <row r="145" spans="1:4" x14ac:dyDescent="0.25">
      <c r="A145" s="1">
        <v>45678</v>
      </c>
      <c r="B145" s="4">
        <v>8.1</v>
      </c>
      <c r="C145">
        <f t="shared" si="4"/>
        <v>1636.1999999999998</v>
      </c>
      <c r="D145">
        <f t="shared" si="5"/>
        <v>1636.2999999999997</v>
      </c>
    </row>
    <row r="146" spans="1:4" x14ac:dyDescent="0.25">
      <c r="A146" s="1">
        <v>45679</v>
      </c>
      <c r="B146" s="4">
        <v>8.27</v>
      </c>
      <c r="C146">
        <f t="shared" si="4"/>
        <v>1670.54</v>
      </c>
      <c r="D146">
        <f t="shared" si="5"/>
        <v>1670.6399999999999</v>
      </c>
    </row>
    <row r="147" spans="1:4" x14ac:dyDescent="0.25">
      <c r="A147" s="1">
        <v>45680</v>
      </c>
      <c r="B147" s="4">
        <v>8.1</v>
      </c>
      <c r="C147">
        <f t="shared" si="4"/>
        <v>1636.1999999999998</v>
      </c>
      <c r="D147">
        <f t="shared" si="5"/>
        <v>1636.2999999999997</v>
      </c>
    </row>
    <row r="148" spans="1:4" x14ac:dyDescent="0.25">
      <c r="A148" s="1">
        <v>45681</v>
      </c>
      <c r="B148" s="4">
        <v>8.4</v>
      </c>
      <c r="C148">
        <f t="shared" si="4"/>
        <v>1696.8000000000002</v>
      </c>
      <c r="D148">
        <f t="shared" si="5"/>
        <v>1696.9</v>
      </c>
    </row>
    <row r="149" spans="1:4" x14ac:dyDescent="0.25">
      <c r="A149" s="1">
        <v>45685</v>
      </c>
      <c r="B149" s="4">
        <v>8.39</v>
      </c>
      <c r="C149">
        <f t="shared" si="4"/>
        <v>1694.7800000000002</v>
      </c>
      <c r="D149">
        <f t="shared" si="5"/>
        <v>1694.88</v>
      </c>
    </row>
    <row r="150" spans="1:4" x14ac:dyDescent="0.25">
      <c r="A150" s="1">
        <v>45686</v>
      </c>
      <c r="B150" s="4">
        <v>8.4499999999999993</v>
      </c>
      <c r="C150">
        <f t="shared" si="4"/>
        <v>1706.8999999999999</v>
      </c>
      <c r="D150">
        <f t="shared" si="5"/>
        <v>1706.9999999999998</v>
      </c>
    </row>
    <row r="151" spans="1:4" x14ac:dyDescent="0.25">
      <c r="A151" s="1">
        <v>45687</v>
      </c>
      <c r="B151" s="4">
        <v>8.4</v>
      </c>
      <c r="C151">
        <f t="shared" si="4"/>
        <v>1696.8000000000002</v>
      </c>
      <c r="D151">
        <f t="shared" si="5"/>
        <v>1696.9</v>
      </c>
    </row>
    <row r="152" spans="1:4" x14ac:dyDescent="0.25">
      <c r="A152" s="1">
        <v>45688</v>
      </c>
      <c r="B152" s="4">
        <v>8.52</v>
      </c>
      <c r="C152">
        <f t="shared" si="4"/>
        <v>1721.04</v>
      </c>
      <c r="D152">
        <f t="shared" si="5"/>
        <v>1721.1399999999999</v>
      </c>
    </row>
    <row r="153" spans="1:4" x14ac:dyDescent="0.25">
      <c r="A153" s="1">
        <v>45691</v>
      </c>
      <c r="B153" s="4">
        <v>8.17</v>
      </c>
      <c r="C153">
        <f t="shared" si="4"/>
        <v>1650.34</v>
      </c>
      <c r="D153">
        <f t="shared" si="5"/>
        <v>1650.4399999999998</v>
      </c>
    </row>
    <row r="154" spans="1:4" x14ac:dyDescent="0.25">
      <c r="A154" s="1">
        <v>45692</v>
      </c>
      <c r="B154" s="4">
        <v>8.11</v>
      </c>
      <c r="C154">
        <f t="shared" si="4"/>
        <v>1638.2199999999998</v>
      </c>
      <c r="D154">
        <f t="shared" si="5"/>
        <v>1638.3199999999997</v>
      </c>
    </row>
    <row r="155" spans="1:4" x14ac:dyDescent="0.25">
      <c r="A155" s="1">
        <v>45693</v>
      </c>
      <c r="B155" s="4">
        <v>8.09</v>
      </c>
      <c r="C155">
        <f t="shared" si="4"/>
        <v>1634.18</v>
      </c>
      <c r="D155">
        <f t="shared" si="5"/>
        <v>1634.28</v>
      </c>
    </row>
    <row r="156" spans="1:4" x14ac:dyDescent="0.25">
      <c r="A156" s="1">
        <v>45694</v>
      </c>
      <c r="B156" s="4">
        <v>8.3000000000000007</v>
      </c>
      <c r="C156">
        <f t="shared" si="4"/>
        <v>1676.6000000000001</v>
      </c>
      <c r="D156">
        <f t="shared" si="5"/>
        <v>1676.7</v>
      </c>
    </row>
    <row r="157" spans="1:4" x14ac:dyDescent="0.25">
      <c r="A157" s="1">
        <v>45695</v>
      </c>
      <c r="B157" s="4">
        <v>8.4700000000000006</v>
      </c>
      <c r="C157">
        <f t="shared" si="4"/>
        <v>1710.94</v>
      </c>
      <c r="D157">
        <f t="shared" si="5"/>
        <v>1711.04</v>
      </c>
    </row>
    <row r="158" spans="1:4" x14ac:dyDescent="0.25">
      <c r="A158" s="1">
        <v>45698</v>
      </c>
      <c r="B158" s="4">
        <v>8.19</v>
      </c>
      <c r="C158">
        <f t="shared" si="4"/>
        <v>1654.3799999999999</v>
      </c>
      <c r="D158">
        <f t="shared" si="5"/>
        <v>1654.4799999999998</v>
      </c>
    </row>
    <row r="159" spans="1:4" x14ac:dyDescent="0.25">
      <c r="A159" s="1">
        <v>45699</v>
      </c>
      <c r="B159" s="4">
        <v>8.19</v>
      </c>
      <c r="C159">
        <f t="shared" si="4"/>
        <v>1654.3799999999999</v>
      </c>
      <c r="D159">
        <f t="shared" si="5"/>
        <v>1654.4799999999998</v>
      </c>
    </row>
    <row r="160" spans="1:4" x14ac:dyDescent="0.25">
      <c r="A160" s="1">
        <v>45700</v>
      </c>
      <c r="B160" s="4">
        <v>8.16</v>
      </c>
      <c r="C160">
        <f t="shared" si="4"/>
        <v>1648.32</v>
      </c>
      <c r="D160">
        <f t="shared" si="5"/>
        <v>1648.4199999999998</v>
      </c>
    </row>
    <row r="161" spans="1:4" x14ac:dyDescent="0.25">
      <c r="A161" s="1">
        <v>45701</v>
      </c>
      <c r="B161" s="4">
        <v>8.16</v>
      </c>
      <c r="C161">
        <f t="shared" si="4"/>
        <v>1648.32</v>
      </c>
      <c r="D161">
        <f t="shared" si="5"/>
        <v>1648.4199999999998</v>
      </c>
    </row>
    <row r="162" spans="1:4" x14ac:dyDescent="0.25">
      <c r="A162" s="1">
        <v>45702</v>
      </c>
      <c r="B162" s="4">
        <v>8.3000000000000007</v>
      </c>
      <c r="C162">
        <f t="shared" si="4"/>
        <v>1676.6000000000001</v>
      </c>
      <c r="D162">
        <f t="shared" si="5"/>
        <v>1676.7</v>
      </c>
    </row>
    <row r="163" spans="1:4" x14ac:dyDescent="0.25">
      <c r="A163" s="1">
        <v>45705</v>
      </c>
      <c r="B163" s="4">
        <v>8.4</v>
      </c>
      <c r="C163">
        <f t="shared" si="4"/>
        <v>1696.8000000000002</v>
      </c>
      <c r="D163">
        <f t="shared" si="5"/>
        <v>1696.9</v>
      </c>
    </row>
    <row r="164" spans="1:4" x14ac:dyDescent="0.25">
      <c r="A164" s="1">
        <v>45706</v>
      </c>
      <c r="B164" s="4">
        <v>8.43</v>
      </c>
      <c r="C164">
        <f t="shared" si="4"/>
        <v>1702.86</v>
      </c>
      <c r="D164">
        <f t="shared" si="5"/>
        <v>1702.9599999999998</v>
      </c>
    </row>
    <row r="165" spans="1:4" x14ac:dyDescent="0.25">
      <c r="A165" s="1">
        <v>45707</v>
      </c>
      <c r="B165" s="4">
        <v>8.48</v>
      </c>
      <c r="C165">
        <f t="shared" si="4"/>
        <v>1712.96</v>
      </c>
      <c r="D165">
        <f t="shared" si="5"/>
        <v>1713.06</v>
      </c>
    </row>
    <row r="166" spans="1:4" x14ac:dyDescent="0.25">
      <c r="A166" s="1">
        <v>45708</v>
      </c>
      <c r="B166" s="4">
        <v>9.3000000000000007</v>
      </c>
      <c r="C166">
        <f t="shared" si="4"/>
        <v>1878.6000000000001</v>
      </c>
      <c r="D166">
        <f t="shared" si="5"/>
        <v>1878.7</v>
      </c>
    </row>
    <row r="167" spans="1:4" x14ac:dyDescent="0.25">
      <c r="A167" s="1">
        <v>45709</v>
      </c>
      <c r="B167" s="4">
        <v>9.17</v>
      </c>
      <c r="C167">
        <f t="shared" si="4"/>
        <v>1852.34</v>
      </c>
      <c r="D167">
        <f t="shared" si="5"/>
        <v>1852.4399999999998</v>
      </c>
    </row>
    <row r="168" spans="1:4" x14ac:dyDescent="0.25">
      <c r="A168" s="1">
        <v>45712</v>
      </c>
      <c r="B168" s="4">
        <v>8.85</v>
      </c>
      <c r="C168">
        <f t="shared" si="4"/>
        <v>1787.6999999999998</v>
      </c>
      <c r="D168">
        <f t="shared" si="5"/>
        <v>1787.7999999999997</v>
      </c>
    </row>
    <row r="169" spans="1:4" x14ac:dyDescent="0.25">
      <c r="A169" s="1">
        <v>45713</v>
      </c>
      <c r="B169" s="4">
        <v>8.69</v>
      </c>
      <c r="C169">
        <f t="shared" si="4"/>
        <v>1755.3799999999999</v>
      </c>
      <c r="D169">
        <f t="shared" si="5"/>
        <v>1755.4799999999998</v>
      </c>
    </row>
    <row r="170" spans="1:4" x14ac:dyDescent="0.25">
      <c r="A170" s="1">
        <v>45714</v>
      </c>
      <c r="B170" s="4">
        <v>8.86</v>
      </c>
      <c r="C170">
        <f t="shared" si="4"/>
        <v>1789.7199999999998</v>
      </c>
      <c r="D170">
        <f t="shared" si="5"/>
        <v>1789.8199999999997</v>
      </c>
    </row>
    <row r="171" spans="1:4" x14ac:dyDescent="0.25">
      <c r="A171" s="1">
        <v>45715</v>
      </c>
      <c r="B171" s="4">
        <v>8.94</v>
      </c>
      <c r="C171">
        <f t="shared" si="4"/>
        <v>1805.8799999999999</v>
      </c>
      <c r="D171">
        <f t="shared" si="5"/>
        <v>1805.9799999999998</v>
      </c>
    </row>
    <row r="172" spans="1:4" x14ac:dyDescent="0.25">
      <c r="A172" s="1">
        <v>45716</v>
      </c>
      <c r="B172" s="4">
        <v>8.6999999999999993</v>
      </c>
      <c r="C172">
        <f t="shared" si="4"/>
        <v>1757.3999999999999</v>
      </c>
      <c r="D172">
        <f t="shared" si="5"/>
        <v>1757.4999999999998</v>
      </c>
    </row>
    <row r="173" spans="1:4" x14ac:dyDescent="0.25">
      <c r="A173" s="1">
        <v>45719</v>
      </c>
      <c r="B173" s="4">
        <v>8.4499999999999993</v>
      </c>
      <c r="C173">
        <f t="shared" si="4"/>
        <v>1706.8999999999999</v>
      </c>
      <c r="D173">
        <f t="shared" si="5"/>
        <v>1706.9999999999998</v>
      </c>
    </row>
    <row r="174" spans="1:4" x14ac:dyDescent="0.25">
      <c r="A174" s="1">
        <v>45720</v>
      </c>
      <c r="B174" s="4">
        <v>8.36</v>
      </c>
      <c r="C174">
        <f t="shared" si="4"/>
        <v>1688.7199999999998</v>
      </c>
      <c r="D174">
        <f t="shared" si="5"/>
        <v>1688.8199999999997</v>
      </c>
    </row>
    <row r="175" spans="1:4" x14ac:dyDescent="0.25">
      <c r="A175" s="1">
        <v>45721</v>
      </c>
      <c r="B175" s="4">
        <v>8.4</v>
      </c>
      <c r="C175">
        <f t="shared" si="4"/>
        <v>1696.8000000000002</v>
      </c>
      <c r="D175">
        <f t="shared" si="5"/>
        <v>1696.9</v>
      </c>
    </row>
    <row r="176" spans="1:4" x14ac:dyDescent="0.25">
      <c r="A176" s="1">
        <v>45722</v>
      </c>
      <c r="B176" s="4">
        <v>8.14</v>
      </c>
      <c r="C176">
        <f t="shared" si="4"/>
        <v>1644.2800000000002</v>
      </c>
      <c r="D176">
        <f t="shared" si="5"/>
        <v>1644.38</v>
      </c>
    </row>
    <row r="177" spans="1:4" x14ac:dyDescent="0.25">
      <c r="A177" s="1">
        <v>45723</v>
      </c>
      <c r="B177" s="4">
        <v>7.93</v>
      </c>
      <c r="C177">
        <f t="shared" si="4"/>
        <v>1601.86</v>
      </c>
      <c r="D177">
        <f t="shared" si="5"/>
        <v>1601.9599999999998</v>
      </c>
    </row>
    <row r="178" spans="1:4" x14ac:dyDescent="0.25">
      <c r="A178" s="1">
        <v>45726</v>
      </c>
      <c r="B178" s="4">
        <v>8.02</v>
      </c>
      <c r="C178">
        <f t="shared" si="4"/>
        <v>1620.04</v>
      </c>
      <c r="D178">
        <f t="shared" si="5"/>
        <v>1620.1399999999999</v>
      </c>
    </row>
    <row r="179" spans="1:4" x14ac:dyDescent="0.25">
      <c r="A179" s="1">
        <v>45727</v>
      </c>
      <c r="B179" s="4">
        <v>7.55</v>
      </c>
      <c r="C179">
        <f t="shared" si="4"/>
        <v>1525.1</v>
      </c>
      <c r="D179">
        <f t="shared" si="5"/>
        <v>1525.1999999999998</v>
      </c>
    </row>
    <row r="180" spans="1:4" x14ac:dyDescent="0.25">
      <c r="A180" s="1">
        <v>45728</v>
      </c>
      <c r="B180" s="4">
        <v>7.42</v>
      </c>
      <c r="C180">
        <f t="shared" si="4"/>
        <v>1498.84</v>
      </c>
      <c r="D180">
        <f t="shared" si="5"/>
        <v>1498.9399999999998</v>
      </c>
    </row>
    <row r="181" spans="1:4" x14ac:dyDescent="0.25">
      <c r="A181" s="1">
        <v>45729</v>
      </c>
      <c r="B181" s="4">
        <v>7.4</v>
      </c>
      <c r="C181">
        <f t="shared" si="4"/>
        <v>1494.8000000000002</v>
      </c>
      <c r="D181">
        <f t="shared" si="5"/>
        <v>1494.9</v>
      </c>
    </row>
    <row r="182" spans="1:4" x14ac:dyDescent="0.25">
      <c r="A182" s="1">
        <v>45730</v>
      </c>
      <c r="B182" s="4">
        <v>7.4</v>
      </c>
      <c r="C182">
        <f t="shared" si="4"/>
        <v>1494.8000000000002</v>
      </c>
      <c r="D182">
        <f t="shared" si="5"/>
        <v>1494.9</v>
      </c>
    </row>
    <row r="183" spans="1:4" x14ac:dyDescent="0.25">
      <c r="A183" s="1">
        <v>45733</v>
      </c>
      <c r="B183" s="4">
        <v>7.65</v>
      </c>
      <c r="C183">
        <f t="shared" si="4"/>
        <v>1545.3000000000002</v>
      </c>
      <c r="D183">
        <f t="shared" si="5"/>
        <v>1545.4</v>
      </c>
    </row>
    <row r="184" spans="1:4" x14ac:dyDescent="0.25">
      <c r="A184" s="1">
        <v>45734</v>
      </c>
      <c r="B184" s="4">
        <v>7.9</v>
      </c>
      <c r="C184">
        <f t="shared" si="4"/>
        <v>1595.8000000000002</v>
      </c>
      <c r="D184">
        <f t="shared" si="5"/>
        <v>1595.9</v>
      </c>
    </row>
    <row r="185" spans="1:4" x14ac:dyDescent="0.25">
      <c r="A185" s="1">
        <v>45735</v>
      </c>
      <c r="B185" s="4">
        <v>7.49</v>
      </c>
      <c r="C185">
        <f t="shared" si="4"/>
        <v>1512.98</v>
      </c>
      <c r="D185">
        <f t="shared" si="5"/>
        <v>1513.08</v>
      </c>
    </row>
    <row r="186" spans="1:4" x14ac:dyDescent="0.25">
      <c r="A186" s="1">
        <v>45736</v>
      </c>
      <c r="B186" s="4">
        <v>7.5</v>
      </c>
      <c r="C186">
        <f t="shared" si="4"/>
        <v>1515</v>
      </c>
      <c r="D186">
        <f t="shared" si="5"/>
        <v>1515.1</v>
      </c>
    </row>
    <row r="187" spans="1:4" x14ac:dyDescent="0.25">
      <c r="A187" s="1">
        <v>45737</v>
      </c>
      <c r="B187" s="4">
        <v>7.53</v>
      </c>
      <c r="C187">
        <f t="shared" si="4"/>
        <v>1521.06</v>
      </c>
      <c r="D187">
        <f t="shared" si="5"/>
        <v>1521.1599999999999</v>
      </c>
    </row>
    <row r="188" spans="1:4" x14ac:dyDescent="0.25">
      <c r="A188" s="1">
        <v>45740</v>
      </c>
      <c r="B188" s="4">
        <v>7.59</v>
      </c>
      <c r="C188">
        <f t="shared" si="4"/>
        <v>1533.18</v>
      </c>
      <c r="D188">
        <f t="shared" si="5"/>
        <v>1533.28</v>
      </c>
    </row>
    <row r="189" spans="1:4" x14ac:dyDescent="0.25">
      <c r="A189" s="1">
        <v>45741</v>
      </c>
      <c r="B189" s="4">
        <v>7.95</v>
      </c>
      <c r="C189">
        <f t="shared" si="4"/>
        <v>1605.9</v>
      </c>
      <c r="D189">
        <f t="shared" si="5"/>
        <v>1606</v>
      </c>
    </row>
    <row r="190" spans="1:4" x14ac:dyDescent="0.25">
      <c r="A190" s="1">
        <v>45742</v>
      </c>
      <c r="B190" s="4">
        <v>8.0399999999999991</v>
      </c>
      <c r="C190">
        <f t="shared" si="4"/>
        <v>1624.08</v>
      </c>
      <c r="D190">
        <f t="shared" si="5"/>
        <v>1624.1799999999998</v>
      </c>
    </row>
    <row r="191" spans="1:4" x14ac:dyDescent="0.25">
      <c r="A191" s="1">
        <v>45743</v>
      </c>
      <c r="B191" s="4">
        <v>8</v>
      </c>
      <c r="C191">
        <f t="shared" si="4"/>
        <v>1616</v>
      </c>
      <c r="D191">
        <f t="shared" si="5"/>
        <v>1616.1</v>
      </c>
    </row>
    <row r="192" spans="1:4" x14ac:dyDescent="0.25">
      <c r="A192" s="1">
        <v>45744</v>
      </c>
      <c r="B192" s="4">
        <v>8.1199999999999992</v>
      </c>
      <c r="C192">
        <f t="shared" si="4"/>
        <v>1640.2399999999998</v>
      </c>
      <c r="D192">
        <f t="shared" si="5"/>
        <v>1640.3399999999997</v>
      </c>
    </row>
    <row r="193" spans="1:4" x14ac:dyDescent="0.25">
      <c r="A193" s="1">
        <v>45747</v>
      </c>
      <c r="B193" s="4">
        <v>7.72</v>
      </c>
      <c r="C193">
        <f t="shared" si="4"/>
        <v>1559.44</v>
      </c>
      <c r="D193">
        <f t="shared" si="5"/>
        <v>1559.54</v>
      </c>
    </row>
    <row r="194" spans="1:4" x14ac:dyDescent="0.25">
      <c r="A194" s="1">
        <v>45748</v>
      </c>
      <c r="B194" s="4">
        <v>7.46</v>
      </c>
      <c r="C194">
        <f t="shared" si="4"/>
        <v>1506.92</v>
      </c>
      <c r="D194">
        <f t="shared" si="5"/>
        <v>1507.02</v>
      </c>
    </row>
    <row r="195" spans="1:4" x14ac:dyDescent="0.25">
      <c r="A195" s="1">
        <v>45749</v>
      </c>
      <c r="B195" s="4">
        <v>7.4</v>
      </c>
      <c r="C195">
        <f t="shared" ref="C195:C253" si="6">$G$9*B195</f>
        <v>1494.8000000000002</v>
      </c>
      <c r="D195">
        <f t="shared" si="5"/>
        <v>1494.9</v>
      </c>
    </row>
    <row r="196" spans="1:4" x14ac:dyDescent="0.25">
      <c r="A196" s="1">
        <v>45750</v>
      </c>
      <c r="B196" s="4">
        <v>7.53</v>
      </c>
      <c r="C196">
        <f t="shared" si="6"/>
        <v>1521.06</v>
      </c>
      <c r="D196">
        <f t="shared" ref="D196:D253" si="7">C196+$G$2</f>
        <v>1521.1599999999999</v>
      </c>
    </row>
    <row r="197" spans="1:4" x14ac:dyDescent="0.25">
      <c r="A197" s="1">
        <v>45751</v>
      </c>
      <c r="B197" s="4">
        <v>7.2</v>
      </c>
      <c r="C197">
        <f t="shared" si="6"/>
        <v>1454.4</v>
      </c>
      <c r="D197">
        <f t="shared" si="7"/>
        <v>1454.5</v>
      </c>
    </row>
    <row r="198" spans="1:4" x14ac:dyDescent="0.25">
      <c r="A198" s="1">
        <v>45754</v>
      </c>
      <c r="B198" s="4">
        <v>6.95</v>
      </c>
      <c r="C198">
        <f t="shared" si="6"/>
        <v>1403.9</v>
      </c>
      <c r="D198">
        <f t="shared" si="7"/>
        <v>1404</v>
      </c>
    </row>
    <row r="199" spans="1:4" x14ac:dyDescent="0.25">
      <c r="A199" s="1">
        <v>45755</v>
      </c>
      <c r="B199" s="4">
        <v>6.91</v>
      </c>
      <c r="C199">
        <f t="shared" si="6"/>
        <v>1395.82</v>
      </c>
      <c r="D199">
        <f t="shared" si="7"/>
        <v>1395.9199999999998</v>
      </c>
    </row>
    <row r="200" spans="1:4" x14ac:dyDescent="0.25">
      <c r="A200" s="1">
        <v>45756</v>
      </c>
      <c r="B200" s="4">
        <v>6.86</v>
      </c>
      <c r="C200">
        <f t="shared" si="6"/>
        <v>1385.72</v>
      </c>
      <c r="D200">
        <f t="shared" si="7"/>
        <v>1385.82</v>
      </c>
    </row>
    <row r="201" spans="1:4" x14ac:dyDescent="0.25">
      <c r="A201" s="1">
        <v>45757</v>
      </c>
      <c r="B201" s="4">
        <v>7.45</v>
      </c>
      <c r="C201">
        <f t="shared" si="6"/>
        <v>1504.9</v>
      </c>
      <c r="D201">
        <f t="shared" si="7"/>
        <v>1505</v>
      </c>
    </row>
    <row r="202" spans="1:4" x14ac:dyDescent="0.25">
      <c r="A202" s="1">
        <v>45758</v>
      </c>
      <c r="B202" s="4">
        <v>7.2</v>
      </c>
      <c r="C202">
        <f t="shared" si="6"/>
        <v>1454.4</v>
      </c>
      <c r="D202">
        <f t="shared" si="7"/>
        <v>1454.5</v>
      </c>
    </row>
    <row r="203" spans="1:4" x14ac:dyDescent="0.25">
      <c r="A203" s="1">
        <v>45761</v>
      </c>
      <c r="B203" s="4">
        <v>7.34</v>
      </c>
      <c r="C203">
        <f t="shared" si="6"/>
        <v>1482.68</v>
      </c>
      <c r="D203">
        <f t="shared" si="7"/>
        <v>1482.78</v>
      </c>
    </row>
    <row r="204" spans="1:4" x14ac:dyDescent="0.25">
      <c r="A204" s="1">
        <v>45762</v>
      </c>
      <c r="B204" s="4">
        <v>7.46</v>
      </c>
      <c r="C204">
        <f t="shared" si="6"/>
        <v>1506.92</v>
      </c>
      <c r="D204">
        <f t="shared" si="7"/>
        <v>1507.02</v>
      </c>
    </row>
    <row r="205" spans="1:4" x14ac:dyDescent="0.25">
      <c r="A205" s="1">
        <v>45763</v>
      </c>
      <c r="B205" s="4">
        <v>7.5</v>
      </c>
      <c r="C205">
        <f t="shared" si="6"/>
        <v>1515</v>
      </c>
      <c r="D205">
        <f t="shared" si="7"/>
        <v>1515.1</v>
      </c>
    </row>
    <row r="206" spans="1:4" x14ac:dyDescent="0.25">
      <c r="A206" s="1">
        <v>45764</v>
      </c>
      <c r="B206" s="4">
        <v>7.45</v>
      </c>
      <c r="C206">
        <f t="shared" si="6"/>
        <v>1504.9</v>
      </c>
      <c r="D206">
        <f t="shared" si="7"/>
        <v>1505</v>
      </c>
    </row>
    <row r="207" spans="1:4" x14ac:dyDescent="0.25">
      <c r="A207" s="1">
        <v>45769</v>
      </c>
      <c r="B207" s="4">
        <v>7.34</v>
      </c>
      <c r="C207">
        <f t="shared" si="6"/>
        <v>1482.68</v>
      </c>
      <c r="D207">
        <f t="shared" si="7"/>
        <v>1482.78</v>
      </c>
    </row>
    <row r="208" spans="1:4" x14ac:dyDescent="0.25">
      <c r="A208" s="1">
        <v>45770</v>
      </c>
      <c r="B208" s="4">
        <v>7.76</v>
      </c>
      <c r="C208">
        <f t="shared" si="6"/>
        <v>1567.52</v>
      </c>
      <c r="D208">
        <f t="shared" si="7"/>
        <v>1567.62</v>
      </c>
    </row>
    <row r="209" spans="1:4" x14ac:dyDescent="0.25">
      <c r="A209" s="1">
        <v>45771</v>
      </c>
      <c r="B209" s="4">
        <v>7.65</v>
      </c>
      <c r="C209">
        <f t="shared" si="6"/>
        <v>1545.3000000000002</v>
      </c>
      <c r="D209">
        <f t="shared" si="7"/>
        <v>1545.4</v>
      </c>
    </row>
    <row r="210" spans="1:4" x14ac:dyDescent="0.25">
      <c r="A210" s="1">
        <v>45775</v>
      </c>
      <c r="B210" s="4">
        <v>7.65</v>
      </c>
      <c r="C210">
        <f t="shared" si="6"/>
        <v>1545.3000000000002</v>
      </c>
      <c r="D210">
        <f t="shared" si="7"/>
        <v>1545.4</v>
      </c>
    </row>
    <row r="211" spans="1:4" x14ac:dyDescent="0.25">
      <c r="A211" s="1">
        <v>45776</v>
      </c>
      <c r="B211" s="4">
        <v>7.87</v>
      </c>
      <c r="C211">
        <f t="shared" si="6"/>
        <v>1589.74</v>
      </c>
      <c r="D211">
        <f t="shared" si="7"/>
        <v>1589.84</v>
      </c>
    </row>
    <row r="212" spans="1:4" x14ac:dyDescent="0.25">
      <c r="A212" s="1">
        <v>45777</v>
      </c>
      <c r="B212" s="4">
        <v>7.74</v>
      </c>
      <c r="C212">
        <f t="shared" si="6"/>
        <v>1563.48</v>
      </c>
      <c r="D212">
        <f t="shared" si="7"/>
        <v>1563.58</v>
      </c>
    </row>
    <row r="213" spans="1:4" x14ac:dyDescent="0.25">
      <c r="A213" s="1">
        <v>45778</v>
      </c>
      <c r="B213" s="4">
        <v>7.65</v>
      </c>
      <c r="C213">
        <f t="shared" si="6"/>
        <v>1545.3000000000002</v>
      </c>
      <c r="D213">
        <f t="shared" si="7"/>
        <v>1545.4</v>
      </c>
    </row>
    <row r="214" spans="1:4" x14ac:dyDescent="0.25">
      <c r="A214" s="1">
        <v>45779</v>
      </c>
      <c r="B214" s="4">
        <v>7.81</v>
      </c>
      <c r="C214">
        <f t="shared" si="6"/>
        <v>1577.62</v>
      </c>
      <c r="D214">
        <f t="shared" si="7"/>
        <v>1577.7199999999998</v>
      </c>
    </row>
    <row r="215" spans="1:4" x14ac:dyDescent="0.25">
      <c r="A215" s="1">
        <v>45782</v>
      </c>
      <c r="B215" s="4">
        <v>7.67</v>
      </c>
      <c r="C215">
        <f t="shared" si="6"/>
        <v>1549.34</v>
      </c>
      <c r="D215">
        <f t="shared" si="7"/>
        <v>1549.4399999999998</v>
      </c>
    </row>
    <row r="216" spans="1:4" x14ac:dyDescent="0.25">
      <c r="A216" s="1">
        <v>45783</v>
      </c>
      <c r="B216" s="4">
        <v>7.79</v>
      </c>
      <c r="C216">
        <f t="shared" si="6"/>
        <v>1573.58</v>
      </c>
      <c r="D216">
        <f t="shared" si="7"/>
        <v>1573.6799999999998</v>
      </c>
    </row>
    <row r="217" spans="1:4" x14ac:dyDescent="0.25">
      <c r="A217" s="1">
        <v>45784</v>
      </c>
      <c r="B217" s="4">
        <v>7.86</v>
      </c>
      <c r="C217">
        <f t="shared" si="6"/>
        <v>1587.72</v>
      </c>
      <c r="D217">
        <f t="shared" si="7"/>
        <v>1587.82</v>
      </c>
    </row>
    <row r="218" spans="1:4" x14ac:dyDescent="0.25">
      <c r="A218" s="1">
        <v>45785</v>
      </c>
      <c r="B218" s="4">
        <v>7.9</v>
      </c>
      <c r="C218">
        <f t="shared" si="6"/>
        <v>1595.8000000000002</v>
      </c>
      <c r="D218">
        <f t="shared" si="7"/>
        <v>1595.9</v>
      </c>
    </row>
    <row r="219" spans="1:4" x14ac:dyDescent="0.25">
      <c r="A219" s="1">
        <v>45786</v>
      </c>
      <c r="B219" s="4">
        <v>7.94</v>
      </c>
      <c r="C219">
        <f t="shared" si="6"/>
        <v>1603.88</v>
      </c>
      <c r="D219">
        <f t="shared" si="7"/>
        <v>1603.98</v>
      </c>
    </row>
    <row r="220" spans="1:4" x14ac:dyDescent="0.25">
      <c r="A220" s="1">
        <v>45789</v>
      </c>
      <c r="B220" s="4">
        <v>8.17</v>
      </c>
      <c r="C220">
        <f t="shared" si="6"/>
        <v>1650.34</v>
      </c>
      <c r="D220">
        <f t="shared" si="7"/>
        <v>1650.4399999999998</v>
      </c>
    </row>
    <row r="221" spans="1:4" x14ac:dyDescent="0.25">
      <c r="A221" s="1">
        <v>45790</v>
      </c>
      <c r="B221" s="4">
        <v>8.64</v>
      </c>
      <c r="C221">
        <f t="shared" si="6"/>
        <v>1745.2800000000002</v>
      </c>
      <c r="D221">
        <f t="shared" si="7"/>
        <v>1745.38</v>
      </c>
    </row>
    <row r="222" spans="1:4" x14ac:dyDescent="0.25">
      <c r="A222" s="1">
        <v>45791</v>
      </c>
      <c r="B222" s="4">
        <v>8.2899999999999991</v>
      </c>
      <c r="C222">
        <f t="shared" si="6"/>
        <v>1674.58</v>
      </c>
      <c r="D222">
        <f t="shared" si="7"/>
        <v>1674.6799999999998</v>
      </c>
    </row>
    <row r="223" spans="1:4" x14ac:dyDescent="0.25">
      <c r="A223" s="1">
        <v>45792</v>
      </c>
      <c r="B223" s="4">
        <v>8.4</v>
      </c>
      <c r="C223">
        <f t="shared" si="6"/>
        <v>1696.8000000000002</v>
      </c>
      <c r="D223">
        <f t="shared" si="7"/>
        <v>1696.9</v>
      </c>
    </row>
    <row r="224" spans="1:4" x14ac:dyDescent="0.25">
      <c r="A224" s="1">
        <v>45793</v>
      </c>
      <c r="B224" s="4">
        <v>8.35</v>
      </c>
      <c r="C224">
        <f t="shared" si="6"/>
        <v>1686.6999999999998</v>
      </c>
      <c r="D224">
        <f t="shared" si="7"/>
        <v>1686.7999999999997</v>
      </c>
    </row>
    <row r="225" spans="1:4" x14ac:dyDescent="0.25">
      <c r="A225" s="1">
        <v>45796</v>
      </c>
      <c r="B225" s="4">
        <v>8.16</v>
      </c>
      <c r="C225">
        <f t="shared" si="6"/>
        <v>1648.32</v>
      </c>
      <c r="D225">
        <f t="shared" si="7"/>
        <v>1648.4199999999998</v>
      </c>
    </row>
    <row r="226" spans="1:4" x14ac:dyDescent="0.25">
      <c r="A226" s="1">
        <v>45797</v>
      </c>
      <c r="B226" s="4">
        <v>8.18</v>
      </c>
      <c r="C226">
        <f t="shared" si="6"/>
        <v>1652.36</v>
      </c>
      <c r="D226">
        <f t="shared" si="7"/>
        <v>1652.4599999999998</v>
      </c>
    </row>
    <row r="227" spans="1:4" x14ac:dyDescent="0.25">
      <c r="A227" s="1">
        <v>45798</v>
      </c>
      <c r="B227" s="4">
        <v>7.71</v>
      </c>
      <c r="C227">
        <f t="shared" si="6"/>
        <v>1557.42</v>
      </c>
      <c r="D227">
        <f t="shared" si="7"/>
        <v>1557.52</v>
      </c>
    </row>
    <row r="228" spans="1:4" x14ac:dyDescent="0.25">
      <c r="A228" s="1">
        <v>45799</v>
      </c>
      <c r="B228" s="4">
        <v>7.61</v>
      </c>
      <c r="C228">
        <f t="shared" si="6"/>
        <v>1537.22</v>
      </c>
      <c r="D228">
        <f t="shared" si="7"/>
        <v>1537.32</v>
      </c>
    </row>
    <row r="229" spans="1:4" x14ac:dyDescent="0.25">
      <c r="A229" s="1">
        <v>45800</v>
      </c>
      <c r="B229" s="4">
        <v>7.65</v>
      </c>
      <c r="C229">
        <f t="shared" si="6"/>
        <v>1545.3000000000002</v>
      </c>
      <c r="D229">
        <f t="shared" si="7"/>
        <v>1545.4</v>
      </c>
    </row>
    <row r="230" spans="1:4" x14ac:dyDescent="0.25">
      <c r="A230" s="1">
        <v>45803</v>
      </c>
      <c r="B230" s="4">
        <v>7.42</v>
      </c>
      <c r="C230">
        <f t="shared" si="6"/>
        <v>1498.84</v>
      </c>
      <c r="D230">
        <f t="shared" si="7"/>
        <v>1498.9399999999998</v>
      </c>
    </row>
    <row r="231" spans="1:4" x14ac:dyDescent="0.25">
      <c r="A231" s="1">
        <v>45804</v>
      </c>
      <c r="B231" s="4">
        <v>7.28</v>
      </c>
      <c r="C231">
        <f t="shared" si="6"/>
        <v>1470.56</v>
      </c>
      <c r="D231">
        <f t="shared" si="7"/>
        <v>1470.6599999999999</v>
      </c>
    </row>
    <row r="232" spans="1:4" x14ac:dyDescent="0.25">
      <c r="A232" s="1">
        <v>45805</v>
      </c>
      <c r="B232" s="4">
        <v>7.49</v>
      </c>
      <c r="C232">
        <f t="shared" si="6"/>
        <v>1512.98</v>
      </c>
      <c r="D232">
        <f t="shared" si="7"/>
        <v>1513.08</v>
      </c>
    </row>
    <row r="233" spans="1:4" x14ac:dyDescent="0.25">
      <c r="A233" s="1">
        <v>45806</v>
      </c>
      <c r="B233" s="4">
        <v>7.51</v>
      </c>
      <c r="C233">
        <f t="shared" si="6"/>
        <v>1517.02</v>
      </c>
      <c r="D233">
        <f t="shared" si="7"/>
        <v>1517.12</v>
      </c>
    </row>
    <row r="234" spans="1:4" x14ac:dyDescent="0.25">
      <c r="A234" s="1">
        <v>45807</v>
      </c>
      <c r="B234" s="4">
        <v>7.77</v>
      </c>
      <c r="C234">
        <f t="shared" si="6"/>
        <v>1569.54</v>
      </c>
      <c r="D234">
        <f t="shared" si="7"/>
        <v>1569.6399999999999</v>
      </c>
    </row>
    <row r="235" spans="1:4" x14ac:dyDescent="0.25">
      <c r="A235" s="1">
        <v>45810</v>
      </c>
      <c r="B235" s="4">
        <v>7.58</v>
      </c>
      <c r="C235">
        <f t="shared" si="6"/>
        <v>1531.16</v>
      </c>
      <c r="D235">
        <f t="shared" si="7"/>
        <v>1531.26</v>
      </c>
    </row>
    <row r="236" spans="1:4" x14ac:dyDescent="0.25">
      <c r="A236" s="1">
        <v>45811</v>
      </c>
      <c r="B236" s="4">
        <v>7.6</v>
      </c>
      <c r="C236">
        <f t="shared" si="6"/>
        <v>1535.1999999999998</v>
      </c>
      <c r="D236">
        <f t="shared" si="7"/>
        <v>1535.2999999999997</v>
      </c>
    </row>
    <row r="237" spans="1:4" x14ac:dyDescent="0.25">
      <c r="A237" s="1">
        <v>45812</v>
      </c>
      <c r="B237" s="4">
        <v>7.88</v>
      </c>
      <c r="C237">
        <f t="shared" si="6"/>
        <v>1591.76</v>
      </c>
      <c r="D237">
        <f t="shared" si="7"/>
        <v>1591.86</v>
      </c>
    </row>
    <row r="238" spans="1:4" x14ac:dyDescent="0.25">
      <c r="A238" s="1">
        <v>45813</v>
      </c>
      <c r="B238" s="4">
        <v>7.85</v>
      </c>
      <c r="C238">
        <f t="shared" si="6"/>
        <v>1585.6999999999998</v>
      </c>
      <c r="D238">
        <f t="shared" si="7"/>
        <v>1585.7999999999997</v>
      </c>
    </row>
    <row r="239" spans="1:4" x14ac:dyDescent="0.25">
      <c r="A239" s="1">
        <v>45814</v>
      </c>
      <c r="B239" s="4">
        <v>7.85</v>
      </c>
      <c r="C239">
        <f t="shared" si="6"/>
        <v>1585.6999999999998</v>
      </c>
      <c r="D239">
        <f t="shared" si="7"/>
        <v>1585.7999999999997</v>
      </c>
    </row>
    <row r="240" spans="1:4" x14ac:dyDescent="0.25">
      <c r="A240" s="1">
        <v>45818</v>
      </c>
      <c r="B240" s="4">
        <v>7.84</v>
      </c>
      <c r="C240">
        <f t="shared" si="6"/>
        <v>1583.68</v>
      </c>
      <c r="D240">
        <f t="shared" si="7"/>
        <v>1583.78</v>
      </c>
    </row>
    <row r="241" spans="1:4" x14ac:dyDescent="0.25">
      <c r="A241" s="1">
        <v>45819</v>
      </c>
      <c r="B241" s="4">
        <v>7.76</v>
      </c>
      <c r="C241">
        <f t="shared" si="6"/>
        <v>1567.52</v>
      </c>
      <c r="D241">
        <f t="shared" si="7"/>
        <v>1567.62</v>
      </c>
    </row>
    <row r="242" spans="1:4" x14ac:dyDescent="0.25">
      <c r="A242" s="1">
        <v>45820</v>
      </c>
      <c r="B242" s="4">
        <v>7.58</v>
      </c>
      <c r="C242">
        <f t="shared" si="6"/>
        <v>1531.16</v>
      </c>
      <c r="D242">
        <f t="shared" si="7"/>
        <v>1531.26</v>
      </c>
    </row>
    <row r="243" spans="1:4" x14ac:dyDescent="0.25">
      <c r="A243" s="1">
        <v>45821</v>
      </c>
      <c r="B243" s="4">
        <v>7.4</v>
      </c>
      <c r="C243">
        <f t="shared" si="6"/>
        <v>1494.8000000000002</v>
      </c>
      <c r="D243">
        <f t="shared" si="7"/>
        <v>1494.9</v>
      </c>
    </row>
    <row r="244" spans="1:4" x14ac:dyDescent="0.25">
      <c r="A244" s="1">
        <v>45824</v>
      </c>
      <c r="B244" s="4">
        <v>7.46</v>
      </c>
      <c r="C244">
        <f t="shared" si="6"/>
        <v>1506.92</v>
      </c>
      <c r="D244">
        <f t="shared" si="7"/>
        <v>1507.02</v>
      </c>
    </row>
    <row r="245" spans="1:4" x14ac:dyDescent="0.25">
      <c r="A245" s="1">
        <v>45825</v>
      </c>
      <c r="B245" s="4">
        <v>7.78</v>
      </c>
      <c r="C245">
        <f t="shared" si="6"/>
        <v>1571.56</v>
      </c>
      <c r="D245">
        <f t="shared" si="7"/>
        <v>1571.6599999999999</v>
      </c>
    </row>
    <row r="246" spans="1:4" x14ac:dyDescent="0.25">
      <c r="A246" s="1">
        <v>45826</v>
      </c>
      <c r="B246" s="4">
        <v>7.59</v>
      </c>
      <c r="C246">
        <f t="shared" si="6"/>
        <v>1533.18</v>
      </c>
      <c r="D246">
        <f t="shared" si="7"/>
        <v>1533.28</v>
      </c>
    </row>
    <row r="247" spans="1:4" x14ac:dyDescent="0.25">
      <c r="A247" s="1">
        <v>45827</v>
      </c>
      <c r="B247" s="4">
        <v>7.43</v>
      </c>
      <c r="C247">
        <f t="shared" si="6"/>
        <v>1500.86</v>
      </c>
      <c r="D247">
        <f t="shared" si="7"/>
        <v>1500.9599999999998</v>
      </c>
    </row>
    <row r="248" spans="1:4" x14ac:dyDescent="0.25">
      <c r="A248" s="1">
        <v>45828</v>
      </c>
      <c r="B248" s="4">
        <v>7.38</v>
      </c>
      <c r="C248">
        <f t="shared" si="6"/>
        <v>1490.76</v>
      </c>
      <c r="D248">
        <f t="shared" si="7"/>
        <v>1490.86</v>
      </c>
    </row>
    <row r="249" spans="1:4" x14ac:dyDescent="0.25">
      <c r="A249" s="1">
        <v>45831</v>
      </c>
      <c r="B249" s="4">
        <v>7.36</v>
      </c>
      <c r="C249">
        <f t="shared" si="6"/>
        <v>1486.72</v>
      </c>
      <c r="D249">
        <f t="shared" si="7"/>
        <v>1486.82</v>
      </c>
    </row>
    <row r="250" spans="1:4" x14ac:dyDescent="0.25">
      <c r="A250" s="1">
        <v>45832</v>
      </c>
      <c r="B250" s="4">
        <v>7.27</v>
      </c>
      <c r="C250">
        <f t="shared" si="6"/>
        <v>1468.54</v>
      </c>
      <c r="D250">
        <f t="shared" si="7"/>
        <v>1468.6399999999999</v>
      </c>
    </row>
    <row r="251" spans="1:4" x14ac:dyDescent="0.25">
      <c r="A251" s="1">
        <v>45833</v>
      </c>
      <c r="B251" s="4">
        <v>7.35</v>
      </c>
      <c r="C251">
        <f t="shared" si="6"/>
        <v>1484.6999999999998</v>
      </c>
      <c r="D251">
        <f t="shared" si="7"/>
        <v>1484.7999999999997</v>
      </c>
    </row>
    <row r="252" spans="1:4" x14ac:dyDescent="0.25">
      <c r="A252" s="1">
        <v>45834</v>
      </c>
      <c r="B252" s="4">
        <v>7.44</v>
      </c>
      <c r="C252">
        <f t="shared" si="6"/>
        <v>1502.88</v>
      </c>
      <c r="D252">
        <f t="shared" si="7"/>
        <v>1502.98</v>
      </c>
    </row>
    <row r="253" spans="1:4" x14ac:dyDescent="0.25">
      <c r="A253" s="1">
        <v>45835</v>
      </c>
      <c r="B253" s="4">
        <v>7.61</v>
      </c>
      <c r="C253">
        <f t="shared" si="6"/>
        <v>1537.22</v>
      </c>
      <c r="D253">
        <f t="shared" si="7"/>
        <v>1537.32</v>
      </c>
    </row>
    <row r="254" spans="1:4" x14ac:dyDescent="0.25">
      <c r="A254" s="1">
        <v>45838</v>
      </c>
      <c r="B254" s="4">
        <v>7.78</v>
      </c>
      <c r="C254">
        <f>$G$9*B254</f>
        <v>1571.56</v>
      </c>
      <c r="D254">
        <f>C254+G2+H7</f>
        <v>1687.81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4"/>
  <sheetViews>
    <sheetView tabSelected="1" topLeftCell="A16" zoomScale="55" zoomScaleNormal="55" workbookViewId="0">
      <selection activeCell="Z68" sqref="Z68"/>
    </sheetView>
  </sheetViews>
  <sheetFormatPr defaultRowHeight="13.2" x14ac:dyDescent="0.25"/>
  <cols>
    <col min="1" max="1" width="18.5546875" style="1" customWidth="1"/>
    <col min="3" max="3" width="11.5546875" bestFit="1" customWidth="1"/>
    <col min="4" max="4" width="8" bestFit="1" customWidth="1"/>
    <col min="6" max="6" width="15.77734375" bestFit="1" customWidth="1"/>
    <col min="7" max="7" width="11.21875" bestFit="1" customWidth="1"/>
    <col min="8" max="8" width="15.5546875" bestFit="1" customWidth="1"/>
    <col min="9" max="9" width="21.77734375" bestFit="1" customWidth="1"/>
    <col min="10" max="10" width="13" customWidth="1"/>
    <col min="11" max="11" width="16.88671875" bestFit="1" customWidth="1"/>
    <col min="12" max="12" width="15.109375" bestFit="1" customWidth="1"/>
    <col min="13" max="13" width="18.6640625" bestFit="1" customWidth="1"/>
  </cols>
  <sheetData>
    <row r="1" spans="1:10" ht="14.4" x14ac:dyDescent="0.3">
      <c r="A1" s="3" t="s">
        <v>2</v>
      </c>
      <c r="B1" t="s">
        <v>6</v>
      </c>
      <c r="C1" t="s">
        <v>17</v>
      </c>
      <c r="D1" t="s">
        <v>18</v>
      </c>
    </row>
    <row r="2" spans="1:10" x14ac:dyDescent="0.25">
      <c r="A2" s="1">
        <v>45474</v>
      </c>
      <c r="B2">
        <v>4.95</v>
      </c>
      <c r="C2">
        <v>999.90000000000009</v>
      </c>
      <c r="D2">
        <v>1000</v>
      </c>
    </row>
    <row r="3" spans="1:10" x14ac:dyDescent="0.25">
      <c r="A3" s="1">
        <v>45475</v>
      </c>
      <c r="B3">
        <v>4.96</v>
      </c>
      <c r="C3">
        <v>1001.92</v>
      </c>
      <c r="D3">
        <v>1002.02</v>
      </c>
    </row>
    <row r="4" spans="1:10" x14ac:dyDescent="0.25">
      <c r="A4" s="1">
        <v>45476</v>
      </c>
      <c r="B4">
        <v>4.8099999999999996</v>
      </c>
      <c r="C4">
        <v>971.61999999999989</v>
      </c>
      <c r="D4">
        <v>971.7199999999998</v>
      </c>
    </row>
    <row r="5" spans="1:10" x14ac:dyDescent="0.25">
      <c r="A5" s="1">
        <v>45477</v>
      </c>
      <c r="B5">
        <v>4.84</v>
      </c>
      <c r="C5">
        <v>977.68</v>
      </c>
      <c r="D5">
        <v>977.77999999999986</v>
      </c>
    </row>
    <row r="6" spans="1:10" x14ac:dyDescent="0.25">
      <c r="A6" s="1">
        <v>45478</v>
      </c>
      <c r="B6">
        <v>4.82</v>
      </c>
      <c r="C6">
        <v>973.6400000000001</v>
      </c>
      <c r="D6">
        <v>973.74</v>
      </c>
      <c r="H6" s="21" t="s">
        <v>31</v>
      </c>
      <c r="I6" s="22" t="s">
        <v>28</v>
      </c>
      <c r="J6" s="23" t="s">
        <v>37</v>
      </c>
    </row>
    <row r="7" spans="1:10" x14ac:dyDescent="0.25">
      <c r="A7" s="1">
        <v>45481</v>
      </c>
      <c r="B7">
        <v>4.8099999999999996</v>
      </c>
      <c r="C7">
        <v>971.61999999999989</v>
      </c>
      <c r="D7">
        <v>971.7199999999998</v>
      </c>
      <c r="H7" s="19" t="s">
        <v>24</v>
      </c>
      <c r="I7" s="14" t="s">
        <v>32</v>
      </c>
      <c r="J7" s="20">
        <v>1000</v>
      </c>
    </row>
    <row r="8" spans="1:10" x14ac:dyDescent="0.25">
      <c r="A8" s="1">
        <v>45482</v>
      </c>
      <c r="B8">
        <v>4.91</v>
      </c>
      <c r="C8">
        <v>991.82</v>
      </c>
      <c r="D8">
        <v>991.92</v>
      </c>
      <c r="H8" s="19" t="s">
        <v>26</v>
      </c>
      <c r="I8" s="18">
        <v>45708</v>
      </c>
      <c r="J8" s="20"/>
    </row>
    <row r="9" spans="1:10" ht="14.4" x14ac:dyDescent="0.25">
      <c r="A9" s="1">
        <v>45483</v>
      </c>
      <c r="B9">
        <v>4.91</v>
      </c>
      <c r="C9">
        <v>991.82</v>
      </c>
      <c r="D9">
        <v>991.92</v>
      </c>
      <c r="F9" s="13"/>
      <c r="G9" s="13"/>
      <c r="H9" s="19" t="s">
        <v>25</v>
      </c>
      <c r="I9" s="14">
        <v>4.8099999999999996</v>
      </c>
      <c r="J9" s="20"/>
    </row>
    <row r="10" spans="1:10" x14ac:dyDescent="0.25">
      <c r="A10" s="1">
        <v>45484</v>
      </c>
      <c r="B10">
        <v>5</v>
      </c>
      <c r="C10">
        <v>1010</v>
      </c>
      <c r="D10">
        <v>1010.0999999999999</v>
      </c>
      <c r="H10" s="19" t="s">
        <v>27</v>
      </c>
      <c r="I10" s="14">
        <v>9.3000000000000007</v>
      </c>
      <c r="J10" s="20"/>
    </row>
    <row r="11" spans="1:10" x14ac:dyDescent="0.25">
      <c r="A11" s="1">
        <v>45485</v>
      </c>
      <c r="B11">
        <v>5.08</v>
      </c>
      <c r="C11">
        <v>1026.1600000000001</v>
      </c>
      <c r="D11">
        <v>1026.26</v>
      </c>
      <c r="H11" s="19" t="s">
        <v>33</v>
      </c>
      <c r="I11" s="14">
        <f>INT(J7 / I9)</f>
        <v>207</v>
      </c>
      <c r="J11" s="20"/>
    </row>
    <row r="12" spans="1:10" x14ac:dyDescent="0.25">
      <c r="A12" s="1">
        <v>45488</v>
      </c>
      <c r="B12">
        <v>4.95</v>
      </c>
      <c r="C12">
        <v>999.90000000000009</v>
      </c>
      <c r="D12">
        <v>1000</v>
      </c>
      <c r="H12" s="19" t="s">
        <v>23</v>
      </c>
      <c r="I12" s="14">
        <f>I11 * I9</f>
        <v>995.67</v>
      </c>
      <c r="J12" s="20"/>
    </row>
    <row r="13" spans="1:10" x14ac:dyDescent="0.25">
      <c r="A13" s="1">
        <v>45489</v>
      </c>
      <c r="B13">
        <v>5.19</v>
      </c>
      <c r="C13">
        <v>1048.3800000000001</v>
      </c>
      <c r="D13">
        <v>1048.48</v>
      </c>
      <c r="H13" s="19" t="s">
        <v>34</v>
      </c>
      <c r="I13" s="14">
        <f>I11 * I10</f>
        <v>1925.1000000000001</v>
      </c>
      <c r="J13" s="20"/>
    </row>
    <row r="14" spans="1:10" x14ac:dyDescent="0.25">
      <c r="A14" s="1">
        <v>45490</v>
      </c>
      <c r="B14">
        <v>5.38</v>
      </c>
      <c r="C14">
        <v>1086.76</v>
      </c>
      <c r="D14">
        <v>1086.8599999999999</v>
      </c>
      <c r="H14" s="19" t="s">
        <v>35</v>
      </c>
      <c r="I14" s="14">
        <f>I13 - I12</f>
        <v>929.43000000000018</v>
      </c>
      <c r="J14" s="20"/>
    </row>
    <row r="15" spans="1:10" x14ac:dyDescent="0.25">
      <c r="A15" s="1">
        <v>45491</v>
      </c>
      <c r="B15">
        <v>5.46</v>
      </c>
      <c r="C15">
        <v>1102.92</v>
      </c>
      <c r="D15">
        <v>1103.02</v>
      </c>
      <c r="G15" s="12"/>
      <c r="H15" s="24" t="s">
        <v>36</v>
      </c>
      <c r="I15" s="25">
        <f>(I14 / I12) * 100</f>
        <v>93.347193347193368</v>
      </c>
      <c r="J15" s="26"/>
    </row>
    <row r="16" spans="1:10" x14ac:dyDescent="0.25">
      <c r="A16" s="1">
        <v>45492</v>
      </c>
      <c r="B16">
        <v>5.75</v>
      </c>
      <c r="C16">
        <v>1161.5</v>
      </c>
      <c r="D16">
        <v>1161.5999999999999</v>
      </c>
    </row>
    <row r="17" spans="1:13" x14ac:dyDescent="0.25">
      <c r="A17" s="1">
        <v>45495</v>
      </c>
      <c r="B17">
        <v>5.77</v>
      </c>
      <c r="C17">
        <v>1165.54</v>
      </c>
      <c r="D17">
        <v>1165.6399999999999</v>
      </c>
    </row>
    <row r="18" spans="1:13" x14ac:dyDescent="0.25">
      <c r="A18" s="1">
        <v>45496</v>
      </c>
      <c r="B18">
        <v>5.88</v>
      </c>
      <c r="C18">
        <v>1187.76</v>
      </c>
      <c r="D18">
        <v>1187.8599999999999</v>
      </c>
    </row>
    <row r="19" spans="1:13" x14ac:dyDescent="0.25">
      <c r="A19" s="1">
        <v>45497</v>
      </c>
      <c r="B19">
        <v>5.9</v>
      </c>
      <c r="C19">
        <v>1191.8000000000002</v>
      </c>
      <c r="D19">
        <v>1191.9000000000001</v>
      </c>
    </row>
    <row r="20" spans="1:13" x14ac:dyDescent="0.25">
      <c r="A20" s="1">
        <v>45498</v>
      </c>
      <c r="B20">
        <v>5.75</v>
      </c>
      <c r="C20">
        <v>1161.5</v>
      </c>
      <c r="D20">
        <v>1161.5999999999999</v>
      </c>
      <c r="J20" s="10"/>
    </row>
    <row r="21" spans="1:13" x14ac:dyDescent="0.25">
      <c r="A21" s="1">
        <v>45499</v>
      </c>
      <c r="B21">
        <v>5.65</v>
      </c>
      <c r="C21">
        <v>1141.3000000000002</v>
      </c>
      <c r="D21">
        <v>1141.4000000000001</v>
      </c>
    </row>
    <row r="22" spans="1:13" x14ac:dyDescent="0.25">
      <c r="A22" s="1">
        <v>45502</v>
      </c>
      <c r="B22">
        <v>5.8</v>
      </c>
      <c r="C22">
        <v>1171.5999999999999</v>
      </c>
      <c r="D22">
        <v>1171.6999999999998</v>
      </c>
      <c r="J22" s="10"/>
    </row>
    <row r="23" spans="1:13" x14ac:dyDescent="0.25">
      <c r="A23" s="1">
        <v>45503</v>
      </c>
      <c r="B23">
        <v>5.75</v>
      </c>
      <c r="C23">
        <v>1161.5</v>
      </c>
      <c r="D23">
        <v>1161.5999999999999</v>
      </c>
      <c r="G23" t="s">
        <v>31</v>
      </c>
      <c r="H23" t="s">
        <v>28</v>
      </c>
      <c r="I23" t="s">
        <v>37</v>
      </c>
      <c r="K23" t="s">
        <v>68</v>
      </c>
      <c r="L23" t="s">
        <v>69</v>
      </c>
      <c r="M23" t="s">
        <v>70</v>
      </c>
    </row>
    <row r="24" spans="1:13" x14ac:dyDescent="0.25">
      <c r="A24" s="1">
        <v>45504</v>
      </c>
      <c r="B24">
        <v>5.82</v>
      </c>
      <c r="C24">
        <v>1175.6400000000001</v>
      </c>
      <c r="D24">
        <v>1175.74</v>
      </c>
      <c r="G24" t="s">
        <v>24</v>
      </c>
      <c r="H24" s="6">
        <v>45476</v>
      </c>
      <c r="I24">
        <v>1000</v>
      </c>
      <c r="K24" t="str">
        <f>TEXT(H24,"yyyy-mm-dd")</f>
        <v>2024-07-03</v>
      </c>
      <c r="L24">
        <f>H29</f>
        <v>995.67</v>
      </c>
      <c r="M24">
        <v>1</v>
      </c>
    </row>
    <row r="25" spans="1:13" x14ac:dyDescent="0.25">
      <c r="A25" s="1">
        <v>45505</v>
      </c>
      <c r="B25">
        <v>6.03</v>
      </c>
      <c r="C25">
        <v>1218.06</v>
      </c>
      <c r="D25">
        <v>1218.1599999999999</v>
      </c>
      <c r="G25" t="s">
        <v>26</v>
      </c>
      <c r="H25">
        <v>45708</v>
      </c>
      <c r="K25" t="str">
        <f>TEXT(H25,"yyyy-mm-dd")</f>
        <v>2025-02-20</v>
      </c>
      <c r="L25">
        <f>H30</f>
        <v>1925.1</v>
      </c>
      <c r="M25">
        <f>1+H32</f>
        <v>1.9334719334999999</v>
      </c>
    </row>
    <row r="26" spans="1:13" x14ac:dyDescent="0.25">
      <c r="A26" s="1">
        <v>45506</v>
      </c>
      <c r="B26">
        <v>5.99</v>
      </c>
      <c r="C26">
        <v>1209.98</v>
      </c>
      <c r="D26">
        <v>1210.08</v>
      </c>
      <c r="G26" t="s">
        <v>25</v>
      </c>
      <c r="H26">
        <v>4.8099999999999996</v>
      </c>
    </row>
    <row r="27" spans="1:13" x14ac:dyDescent="0.25">
      <c r="A27" s="1">
        <v>45509</v>
      </c>
      <c r="B27">
        <v>5.65</v>
      </c>
      <c r="C27">
        <v>1141.3000000000002</v>
      </c>
      <c r="D27">
        <v>1141.4000000000001</v>
      </c>
      <c r="G27" t="s">
        <v>27</v>
      </c>
      <c r="H27">
        <v>9.3000000000000007</v>
      </c>
    </row>
    <row r="28" spans="1:13" ht="14.4" x14ac:dyDescent="0.25">
      <c r="A28" s="1">
        <v>45510</v>
      </c>
      <c r="B28">
        <v>5.85</v>
      </c>
      <c r="C28">
        <v>1181.6999999999998</v>
      </c>
      <c r="D28">
        <v>1181.7999999999997</v>
      </c>
      <c r="G28" t="s">
        <v>33</v>
      </c>
      <c r="H28">
        <v>207</v>
      </c>
      <c r="I28" s="13"/>
      <c r="J28" s="13"/>
    </row>
    <row r="29" spans="1:13" x14ac:dyDescent="0.25">
      <c r="A29" s="1">
        <v>45511</v>
      </c>
      <c r="B29">
        <v>5.94</v>
      </c>
      <c r="C29">
        <v>1199.8800000000001</v>
      </c>
      <c r="D29">
        <v>1199.98</v>
      </c>
      <c r="G29" t="s">
        <v>23</v>
      </c>
      <c r="H29">
        <v>995.67</v>
      </c>
    </row>
    <row r="30" spans="1:13" x14ac:dyDescent="0.25">
      <c r="A30" s="1">
        <v>45512</v>
      </c>
      <c r="B30">
        <v>5.82</v>
      </c>
      <c r="C30">
        <v>1175.6400000000001</v>
      </c>
      <c r="D30">
        <v>1175.74</v>
      </c>
      <c r="G30" t="s">
        <v>34</v>
      </c>
      <c r="H30">
        <v>1925.1</v>
      </c>
    </row>
    <row r="31" spans="1:13" x14ac:dyDescent="0.25">
      <c r="A31" s="1">
        <v>45513</v>
      </c>
      <c r="B31">
        <v>5.89</v>
      </c>
      <c r="C31">
        <v>1189.78</v>
      </c>
      <c r="D31">
        <v>1189.8799999999999</v>
      </c>
      <c r="G31" t="s">
        <v>35</v>
      </c>
      <c r="H31">
        <v>929.43</v>
      </c>
    </row>
    <row r="32" spans="1:13" x14ac:dyDescent="0.25">
      <c r="A32" s="1">
        <v>45516</v>
      </c>
      <c r="B32">
        <v>6.01</v>
      </c>
      <c r="C32">
        <v>1214.02</v>
      </c>
      <c r="D32">
        <v>1214.1199999999999</v>
      </c>
      <c r="G32" t="s">
        <v>36</v>
      </c>
      <c r="H32">
        <v>0.93347193350000002</v>
      </c>
    </row>
    <row r="33" spans="1:10" x14ac:dyDescent="0.25">
      <c r="A33" s="1">
        <v>45517</v>
      </c>
      <c r="B33">
        <v>6.15</v>
      </c>
      <c r="C33">
        <v>1242.3000000000002</v>
      </c>
      <c r="D33">
        <v>1242.4000000000001</v>
      </c>
      <c r="J33" s="11"/>
    </row>
    <row r="34" spans="1:10" x14ac:dyDescent="0.25">
      <c r="A34" s="1">
        <v>45518</v>
      </c>
      <c r="B34">
        <v>6.09</v>
      </c>
      <c r="C34">
        <v>1230.18</v>
      </c>
      <c r="D34">
        <v>1230.28</v>
      </c>
    </row>
    <row r="35" spans="1:10" x14ac:dyDescent="0.25">
      <c r="A35" s="1">
        <v>45519</v>
      </c>
      <c r="B35">
        <v>6.1</v>
      </c>
      <c r="C35">
        <v>1232.1999999999998</v>
      </c>
      <c r="D35">
        <v>1232.2999999999997</v>
      </c>
    </row>
    <row r="36" spans="1:10" x14ac:dyDescent="0.25">
      <c r="A36" s="1">
        <v>45520</v>
      </c>
      <c r="B36">
        <v>6.1</v>
      </c>
      <c r="C36">
        <v>1232.1999999999998</v>
      </c>
      <c r="D36">
        <v>1232.2999999999997</v>
      </c>
    </row>
    <row r="37" spans="1:10" x14ac:dyDescent="0.25">
      <c r="A37" s="1">
        <v>45523</v>
      </c>
      <c r="B37">
        <v>6.07</v>
      </c>
      <c r="C37">
        <v>1226.1400000000001</v>
      </c>
      <c r="D37">
        <v>1226.24</v>
      </c>
    </row>
    <row r="38" spans="1:10" x14ac:dyDescent="0.25">
      <c r="A38" s="1">
        <v>45524</v>
      </c>
      <c r="B38">
        <v>6.42</v>
      </c>
      <c r="C38">
        <v>1296.8399999999999</v>
      </c>
      <c r="D38">
        <v>1296.9399999999998</v>
      </c>
    </row>
    <row r="39" spans="1:10" x14ac:dyDescent="0.25">
      <c r="A39" s="1">
        <v>45525</v>
      </c>
      <c r="B39">
        <v>6.34</v>
      </c>
      <c r="C39">
        <v>1280.68</v>
      </c>
      <c r="D39">
        <v>1280.78</v>
      </c>
    </row>
    <row r="40" spans="1:10" x14ac:dyDescent="0.25">
      <c r="A40" s="1">
        <v>45526</v>
      </c>
      <c r="B40">
        <v>7.05</v>
      </c>
      <c r="C40">
        <v>1424.1</v>
      </c>
      <c r="D40">
        <v>1424.1999999999998</v>
      </c>
    </row>
    <row r="41" spans="1:10" x14ac:dyDescent="0.25">
      <c r="A41" s="1">
        <v>45527</v>
      </c>
      <c r="B41">
        <v>6.88</v>
      </c>
      <c r="C41">
        <v>1389.76</v>
      </c>
      <c r="D41">
        <v>1389.86</v>
      </c>
    </row>
    <row r="42" spans="1:10" x14ac:dyDescent="0.25">
      <c r="A42" s="1">
        <v>45530</v>
      </c>
      <c r="B42">
        <v>7</v>
      </c>
      <c r="C42">
        <v>1414</v>
      </c>
      <c r="D42">
        <v>1414.1</v>
      </c>
    </row>
    <row r="43" spans="1:10" x14ac:dyDescent="0.25">
      <c r="A43" s="1">
        <v>45531</v>
      </c>
      <c r="B43">
        <v>7</v>
      </c>
      <c r="C43">
        <v>1414</v>
      </c>
      <c r="D43">
        <v>1414.1</v>
      </c>
    </row>
    <row r="44" spans="1:10" x14ac:dyDescent="0.25">
      <c r="A44" s="1">
        <v>45532</v>
      </c>
      <c r="B44">
        <v>6.99</v>
      </c>
      <c r="C44">
        <v>1411.98</v>
      </c>
      <c r="D44">
        <v>1412.08</v>
      </c>
    </row>
    <row r="45" spans="1:10" x14ac:dyDescent="0.25">
      <c r="A45" s="1">
        <v>45533</v>
      </c>
      <c r="B45">
        <v>6.88</v>
      </c>
      <c r="C45">
        <v>1389.76</v>
      </c>
      <c r="D45">
        <v>1389.86</v>
      </c>
    </row>
    <row r="46" spans="1:10" x14ac:dyDescent="0.25">
      <c r="A46" s="1">
        <v>45534</v>
      </c>
      <c r="B46">
        <v>6.94</v>
      </c>
      <c r="C46">
        <v>1401.88</v>
      </c>
      <c r="D46">
        <v>1401.98</v>
      </c>
    </row>
    <row r="47" spans="1:10" x14ac:dyDescent="0.25">
      <c r="A47" s="1">
        <v>45537</v>
      </c>
      <c r="B47">
        <v>7</v>
      </c>
      <c r="C47">
        <v>1414</v>
      </c>
      <c r="D47">
        <v>1414.1</v>
      </c>
    </row>
    <row r="48" spans="1:10" x14ac:dyDescent="0.25">
      <c r="A48" s="1">
        <v>45538</v>
      </c>
      <c r="B48">
        <v>6.98</v>
      </c>
      <c r="C48">
        <v>1409.96</v>
      </c>
      <c r="D48">
        <v>1410.06</v>
      </c>
    </row>
    <row r="49" spans="1:4" x14ac:dyDescent="0.25">
      <c r="A49" s="1">
        <v>45539</v>
      </c>
      <c r="B49">
        <v>6.82</v>
      </c>
      <c r="C49">
        <v>1377.64</v>
      </c>
      <c r="D49">
        <v>1377.74</v>
      </c>
    </row>
    <row r="50" spans="1:4" x14ac:dyDescent="0.25">
      <c r="A50" s="1">
        <v>45540</v>
      </c>
      <c r="B50">
        <v>6.78</v>
      </c>
      <c r="C50">
        <v>1369.56</v>
      </c>
      <c r="D50">
        <v>1369.6599999999999</v>
      </c>
    </row>
    <row r="51" spans="1:4" x14ac:dyDescent="0.25">
      <c r="A51" s="1">
        <v>45541</v>
      </c>
      <c r="B51">
        <v>6.85</v>
      </c>
      <c r="C51">
        <v>1383.6999999999998</v>
      </c>
      <c r="D51">
        <v>1383.7999999999997</v>
      </c>
    </row>
    <row r="52" spans="1:4" x14ac:dyDescent="0.25">
      <c r="A52" s="1">
        <v>45544</v>
      </c>
      <c r="B52">
        <v>6.72</v>
      </c>
      <c r="C52">
        <v>1357.44</v>
      </c>
      <c r="D52">
        <v>1357.54</v>
      </c>
    </row>
    <row r="53" spans="1:4" x14ac:dyDescent="0.25">
      <c r="A53" s="1">
        <v>45545</v>
      </c>
      <c r="B53">
        <v>6.65</v>
      </c>
      <c r="C53">
        <v>1343.3000000000002</v>
      </c>
      <c r="D53">
        <v>1343.4</v>
      </c>
    </row>
    <row r="54" spans="1:4" x14ac:dyDescent="0.25">
      <c r="A54" s="1">
        <v>45546</v>
      </c>
      <c r="B54">
        <v>6.66</v>
      </c>
      <c r="C54">
        <v>1345.32</v>
      </c>
      <c r="D54">
        <v>1345.4199999999998</v>
      </c>
    </row>
    <row r="55" spans="1:4" x14ac:dyDescent="0.25">
      <c r="A55" s="1">
        <v>45547</v>
      </c>
      <c r="B55">
        <v>6.7</v>
      </c>
      <c r="C55">
        <v>1353.4</v>
      </c>
      <c r="D55">
        <v>1353.5</v>
      </c>
    </row>
    <row r="56" spans="1:4" x14ac:dyDescent="0.25">
      <c r="A56" s="1">
        <v>45548</v>
      </c>
      <c r="B56">
        <v>6.67</v>
      </c>
      <c r="C56">
        <v>1347.34</v>
      </c>
      <c r="D56">
        <v>1347.4399999999998</v>
      </c>
    </row>
    <row r="57" spans="1:4" x14ac:dyDescent="0.25">
      <c r="A57" s="1">
        <v>45551</v>
      </c>
      <c r="B57">
        <v>6.7</v>
      </c>
      <c r="C57">
        <v>1353.4</v>
      </c>
      <c r="D57">
        <v>1353.5</v>
      </c>
    </row>
    <row r="58" spans="1:4" x14ac:dyDescent="0.25">
      <c r="A58" s="1">
        <v>45552</v>
      </c>
      <c r="B58">
        <v>6.7</v>
      </c>
      <c r="C58">
        <v>1353.4</v>
      </c>
      <c r="D58">
        <v>1353.5</v>
      </c>
    </row>
    <row r="59" spans="1:4" x14ac:dyDescent="0.25">
      <c r="A59" s="1">
        <v>45553</v>
      </c>
      <c r="B59">
        <v>6.75</v>
      </c>
      <c r="C59">
        <v>1363.5</v>
      </c>
      <c r="D59">
        <v>1363.6</v>
      </c>
    </row>
    <row r="60" spans="1:4" x14ac:dyDescent="0.25">
      <c r="A60" s="1">
        <v>45554</v>
      </c>
      <c r="B60">
        <v>6.76</v>
      </c>
      <c r="C60">
        <v>1365.52</v>
      </c>
      <c r="D60">
        <v>1365.62</v>
      </c>
    </row>
    <row r="61" spans="1:4" x14ac:dyDescent="0.25">
      <c r="A61" s="1">
        <v>45555</v>
      </c>
      <c r="B61">
        <v>6.91</v>
      </c>
      <c r="C61">
        <v>1395.82</v>
      </c>
      <c r="D61">
        <v>1395.9199999999998</v>
      </c>
    </row>
    <row r="62" spans="1:4" x14ac:dyDescent="0.25">
      <c r="A62" s="1">
        <v>45558</v>
      </c>
      <c r="B62">
        <v>7.04</v>
      </c>
      <c r="C62">
        <v>1422.08</v>
      </c>
      <c r="D62">
        <v>1422.1799999999998</v>
      </c>
    </row>
    <row r="63" spans="1:4" x14ac:dyDescent="0.25">
      <c r="A63" s="1">
        <v>45559</v>
      </c>
      <c r="B63">
        <v>7.08</v>
      </c>
      <c r="C63">
        <v>1430.16</v>
      </c>
      <c r="D63">
        <v>1430.26</v>
      </c>
    </row>
    <row r="64" spans="1:4" x14ac:dyDescent="0.25">
      <c r="A64" s="1">
        <v>45560</v>
      </c>
      <c r="B64">
        <v>7.09</v>
      </c>
      <c r="C64">
        <v>1432.18</v>
      </c>
      <c r="D64">
        <v>1432.28</v>
      </c>
    </row>
    <row r="65" spans="1:4" x14ac:dyDescent="0.25">
      <c r="A65" s="1">
        <v>45561</v>
      </c>
      <c r="B65">
        <v>7.3</v>
      </c>
      <c r="C65">
        <v>1474.6</v>
      </c>
      <c r="D65">
        <v>1474.6999999999998</v>
      </c>
    </row>
    <row r="66" spans="1:4" x14ac:dyDescent="0.25">
      <c r="A66" s="1">
        <v>45562</v>
      </c>
      <c r="B66">
        <v>7.31</v>
      </c>
      <c r="C66">
        <v>1476.62</v>
      </c>
      <c r="D66">
        <v>1476.7199999999998</v>
      </c>
    </row>
    <row r="67" spans="1:4" x14ac:dyDescent="0.25">
      <c r="A67" s="1">
        <v>45565</v>
      </c>
      <c r="B67">
        <v>7.5</v>
      </c>
      <c r="C67">
        <v>1515</v>
      </c>
      <c r="D67">
        <v>1515.1</v>
      </c>
    </row>
    <row r="68" spans="1:4" x14ac:dyDescent="0.25">
      <c r="A68" s="1">
        <v>45566</v>
      </c>
      <c r="B68">
        <v>7.64</v>
      </c>
      <c r="C68">
        <v>1543.28</v>
      </c>
      <c r="D68">
        <v>1543.3799999999999</v>
      </c>
    </row>
    <row r="69" spans="1:4" x14ac:dyDescent="0.25">
      <c r="A69" s="1">
        <v>45567</v>
      </c>
      <c r="B69">
        <v>7.7</v>
      </c>
      <c r="C69">
        <v>1555.4</v>
      </c>
      <c r="D69">
        <v>1555.5</v>
      </c>
    </row>
    <row r="70" spans="1:4" x14ac:dyDescent="0.25">
      <c r="A70" s="1">
        <v>45568</v>
      </c>
      <c r="B70">
        <v>7.75</v>
      </c>
      <c r="C70">
        <v>1565.5</v>
      </c>
      <c r="D70">
        <v>1565.6</v>
      </c>
    </row>
    <row r="71" spans="1:4" x14ac:dyDescent="0.25">
      <c r="A71" s="1">
        <v>45569</v>
      </c>
      <c r="B71">
        <v>7.6</v>
      </c>
      <c r="C71">
        <v>1535.1999999999998</v>
      </c>
      <c r="D71">
        <v>1535.2999999999997</v>
      </c>
    </row>
    <row r="72" spans="1:4" x14ac:dyDescent="0.25">
      <c r="A72" s="1">
        <v>45572</v>
      </c>
      <c r="B72">
        <v>7.7</v>
      </c>
      <c r="C72">
        <v>1555.4</v>
      </c>
      <c r="D72">
        <v>1555.5</v>
      </c>
    </row>
    <row r="73" spans="1:4" x14ac:dyDescent="0.25">
      <c r="A73" s="1">
        <v>45573</v>
      </c>
      <c r="B73">
        <v>7.65</v>
      </c>
      <c r="C73">
        <v>1545.3000000000002</v>
      </c>
      <c r="D73">
        <v>1545.4</v>
      </c>
    </row>
    <row r="74" spans="1:4" x14ac:dyDescent="0.25">
      <c r="A74" s="1">
        <v>45574</v>
      </c>
      <c r="B74">
        <v>7.75</v>
      </c>
      <c r="C74">
        <v>1565.5</v>
      </c>
      <c r="D74">
        <v>1565.6</v>
      </c>
    </row>
    <row r="75" spans="1:4" x14ac:dyDescent="0.25">
      <c r="A75" s="1">
        <v>45575</v>
      </c>
      <c r="B75">
        <v>7.7</v>
      </c>
      <c r="C75">
        <v>1555.4</v>
      </c>
      <c r="D75">
        <v>1555.5</v>
      </c>
    </row>
    <row r="76" spans="1:4" x14ac:dyDescent="0.25">
      <c r="A76" s="1">
        <v>45576</v>
      </c>
      <c r="B76">
        <v>7.71</v>
      </c>
      <c r="C76">
        <v>1557.42</v>
      </c>
      <c r="D76">
        <v>1557.52</v>
      </c>
    </row>
    <row r="77" spans="1:4" x14ac:dyDescent="0.25">
      <c r="A77" s="1">
        <v>45579</v>
      </c>
      <c r="B77">
        <v>7.62</v>
      </c>
      <c r="C77">
        <v>1539.24</v>
      </c>
      <c r="D77">
        <v>1539.34</v>
      </c>
    </row>
    <row r="78" spans="1:4" x14ac:dyDescent="0.25">
      <c r="A78" s="1">
        <v>45580</v>
      </c>
      <c r="B78">
        <v>8.0299999999999994</v>
      </c>
      <c r="C78">
        <v>1622.06</v>
      </c>
      <c r="D78">
        <v>1622.1599999999999</v>
      </c>
    </row>
    <row r="79" spans="1:4" x14ac:dyDescent="0.25">
      <c r="A79" s="1">
        <v>45581</v>
      </c>
      <c r="B79">
        <v>8.1199999999999992</v>
      </c>
      <c r="C79">
        <v>1640.2399999999998</v>
      </c>
      <c r="D79">
        <v>1640.3399999999997</v>
      </c>
    </row>
    <row r="80" spans="1:4" x14ac:dyDescent="0.25">
      <c r="A80" s="1">
        <v>45582</v>
      </c>
      <c r="B80">
        <v>8.09</v>
      </c>
      <c r="C80">
        <v>1634.18</v>
      </c>
      <c r="D80">
        <v>1634.28</v>
      </c>
    </row>
    <row r="81" spans="1:4" x14ac:dyDescent="0.25">
      <c r="A81" s="1">
        <v>45583</v>
      </c>
      <c r="B81">
        <v>8.16</v>
      </c>
      <c r="C81">
        <v>1648.32</v>
      </c>
      <c r="D81">
        <v>1648.4199999999998</v>
      </c>
    </row>
    <row r="82" spans="1:4" x14ac:dyDescent="0.25">
      <c r="A82" s="1">
        <v>45586</v>
      </c>
      <c r="B82">
        <v>8.25</v>
      </c>
      <c r="C82">
        <v>1666.5</v>
      </c>
      <c r="D82">
        <v>1666.6</v>
      </c>
    </row>
    <row r="83" spans="1:4" x14ac:dyDescent="0.25">
      <c r="A83" s="1">
        <v>45587</v>
      </c>
      <c r="B83">
        <v>8.25</v>
      </c>
      <c r="C83">
        <v>1666.5</v>
      </c>
      <c r="D83">
        <v>1666.6</v>
      </c>
    </row>
    <row r="84" spans="1:4" x14ac:dyDescent="0.25">
      <c r="A84" s="1">
        <v>45588</v>
      </c>
      <c r="B84">
        <v>8.2100000000000009</v>
      </c>
      <c r="C84">
        <v>1658.42</v>
      </c>
      <c r="D84">
        <v>1658.52</v>
      </c>
    </row>
    <row r="85" spans="1:4" x14ac:dyDescent="0.25">
      <c r="A85" s="1">
        <v>45589</v>
      </c>
      <c r="B85">
        <v>7.96</v>
      </c>
      <c r="C85">
        <v>1607.92</v>
      </c>
      <c r="D85">
        <v>1608.02</v>
      </c>
    </row>
    <row r="86" spans="1:4" x14ac:dyDescent="0.25">
      <c r="A86" s="1">
        <v>45590</v>
      </c>
      <c r="B86">
        <v>7.98</v>
      </c>
      <c r="C86">
        <v>1611.96</v>
      </c>
      <c r="D86">
        <v>1612.06</v>
      </c>
    </row>
    <row r="87" spans="1:4" x14ac:dyDescent="0.25">
      <c r="A87" s="1">
        <v>45593</v>
      </c>
      <c r="B87">
        <v>8.19</v>
      </c>
      <c r="C87">
        <v>1654.3799999999999</v>
      </c>
      <c r="D87">
        <v>1654.4799999999998</v>
      </c>
    </row>
    <row r="88" spans="1:4" x14ac:dyDescent="0.25">
      <c r="A88" s="1">
        <v>45594</v>
      </c>
      <c r="B88">
        <v>8.33</v>
      </c>
      <c r="C88">
        <v>1682.66</v>
      </c>
      <c r="D88">
        <v>1682.76</v>
      </c>
    </row>
    <row r="89" spans="1:4" x14ac:dyDescent="0.25">
      <c r="A89" s="1">
        <v>45595</v>
      </c>
      <c r="B89">
        <v>7.99</v>
      </c>
      <c r="C89">
        <v>1613.98</v>
      </c>
      <c r="D89">
        <v>1614.08</v>
      </c>
    </row>
    <row r="90" spans="1:4" x14ac:dyDescent="0.25">
      <c r="A90" s="1">
        <v>45596</v>
      </c>
      <c r="B90">
        <v>7.88</v>
      </c>
      <c r="C90">
        <v>1591.76</v>
      </c>
      <c r="D90">
        <v>1591.86</v>
      </c>
    </row>
    <row r="91" spans="1:4" x14ac:dyDescent="0.25">
      <c r="A91" s="1">
        <v>45597</v>
      </c>
      <c r="B91">
        <v>7.8</v>
      </c>
      <c r="C91">
        <v>1575.6</v>
      </c>
      <c r="D91">
        <v>1575.6999999999998</v>
      </c>
    </row>
    <row r="92" spans="1:4" x14ac:dyDescent="0.25">
      <c r="A92" s="1">
        <v>45600</v>
      </c>
      <c r="B92">
        <v>7.65</v>
      </c>
      <c r="C92">
        <v>1545.3000000000002</v>
      </c>
      <c r="D92">
        <v>1545.4</v>
      </c>
    </row>
    <row r="93" spans="1:4" x14ac:dyDescent="0.25">
      <c r="A93" s="1">
        <v>45601</v>
      </c>
      <c r="B93">
        <v>7.64</v>
      </c>
      <c r="C93">
        <v>1543.28</v>
      </c>
      <c r="D93">
        <v>1543.3799999999999</v>
      </c>
    </row>
    <row r="94" spans="1:4" x14ac:dyDescent="0.25">
      <c r="A94" s="1">
        <v>45602</v>
      </c>
      <c r="B94">
        <v>7.68</v>
      </c>
      <c r="C94">
        <v>1551.36</v>
      </c>
      <c r="D94">
        <v>1551.4599999999998</v>
      </c>
    </row>
    <row r="95" spans="1:4" x14ac:dyDescent="0.25">
      <c r="A95" s="1">
        <v>45603</v>
      </c>
      <c r="B95">
        <v>7.61</v>
      </c>
      <c r="C95">
        <v>1537.22</v>
      </c>
      <c r="D95">
        <v>1537.32</v>
      </c>
    </row>
    <row r="96" spans="1:4" x14ac:dyDescent="0.25">
      <c r="A96" s="1">
        <v>45604</v>
      </c>
      <c r="B96">
        <v>7.73</v>
      </c>
      <c r="C96">
        <v>1561.46</v>
      </c>
      <c r="D96">
        <v>1561.56</v>
      </c>
    </row>
    <row r="97" spans="1:4" x14ac:dyDescent="0.25">
      <c r="A97" s="1">
        <v>45607</v>
      </c>
      <c r="B97">
        <v>7.73</v>
      </c>
      <c r="C97">
        <v>1561.46</v>
      </c>
      <c r="D97">
        <v>1561.56</v>
      </c>
    </row>
    <row r="98" spans="1:4" x14ac:dyDescent="0.25">
      <c r="A98" s="1">
        <v>45608</v>
      </c>
      <c r="B98">
        <v>7.83</v>
      </c>
      <c r="C98">
        <v>1581.66</v>
      </c>
      <c r="D98">
        <v>1581.76</v>
      </c>
    </row>
    <row r="99" spans="1:4" x14ac:dyDescent="0.25">
      <c r="A99" s="1">
        <v>45609</v>
      </c>
      <c r="B99">
        <v>7.78</v>
      </c>
      <c r="C99">
        <v>1571.56</v>
      </c>
      <c r="D99">
        <v>1571.6599999999999</v>
      </c>
    </row>
    <row r="100" spans="1:4" x14ac:dyDescent="0.25">
      <c r="A100" s="1">
        <v>45610</v>
      </c>
      <c r="B100">
        <v>7.75</v>
      </c>
      <c r="C100">
        <v>1565.5</v>
      </c>
      <c r="D100">
        <v>1565.6</v>
      </c>
    </row>
    <row r="101" spans="1:4" x14ac:dyDescent="0.25">
      <c r="A101" s="1">
        <v>45611</v>
      </c>
      <c r="B101">
        <v>7.92</v>
      </c>
      <c r="C101">
        <v>1599.84</v>
      </c>
      <c r="D101">
        <v>1599.9399999999998</v>
      </c>
    </row>
    <row r="102" spans="1:4" x14ac:dyDescent="0.25">
      <c r="A102" s="1">
        <v>45614</v>
      </c>
      <c r="B102">
        <v>7.91</v>
      </c>
      <c r="C102">
        <v>1597.82</v>
      </c>
      <c r="D102">
        <v>1597.9199999999998</v>
      </c>
    </row>
    <row r="103" spans="1:4" x14ac:dyDescent="0.25">
      <c r="A103" s="1">
        <v>45615</v>
      </c>
      <c r="B103">
        <v>8.01</v>
      </c>
      <c r="C103">
        <v>1618.02</v>
      </c>
      <c r="D103">
        <v>1618.12</v>
      </c>
    </row>
    <row r="104" spans="1:4" x14ac:dyDescent="0.25">
      <c r="A104" s="1">
        <v>45616</v>
      </c>
      <c r="B104">
        <v>7.77</v>
      </c>
      <c r="C104">
        <v>1569.54</v>
      </c>
      <c r="D104">
        <v>1569.6399999999999</v>
      </c>
    </row>
    <row r="105" spans="1:4" x14ac:dyDescent="0.25">
      <c r="A105" s="1">
        <v>45617</v>
      </c>
      <c r="B105">
        <v>7.46</v>
      </c>
      <c r="C105">
        <v>1506.92</v>
      </c>
      <c r="D105">
        <v>1507.02</v>
      </c>
    </row>
    <row r="106" spans="1:4" x14ac:dyDescent="0.25">
      <c r="A106" s="1">
        <v>45618</v>
      </c>
      <c r="B106">
        <v>7.44</v>
      </c>
      <c r="C106">
        <v>1502.88</v>
      </c>
      <c r="D106">
        <v>1502.98</v>
      </c>
    </row>
    <row r="107" spans="1:4" x14ac:dyDescent="0.25">
      <c r="A107" s="1">
        <v>45621</v>
      </c>
      <c r="B107">
        <v>7.46</v>
      </c>
      <c r="C107">
        <v>1506.92</v>
      </c>
      <c r="D107">
        <v>1507.02</v>
      </c>
    </row>
    <row r="108" spans="1:4" x14ac:dyDescent="0.25">
      <c r="A108" s="1">
        <v>45622</v>
      </c>
      <c r="B108">
        <v>7.66</v>
      </c>
      <c r="C108">
        <v>1547.32</v>
      </c>
      <c r="D108">
        <v>1547.4199999999998</v>
      </c>
    </row>
    <row r="109" spans="1:4" x14ac:dyDescent="0.25">
      <c r="A109" s="1">
        <v>45623</v>
      </c>
      <c r="B109">
        <v>7.66</v>
      </c>
      <c r="C109">
        <v>1547.32</v>
      </c>
      <c r="D109">
        <v>1547.4199999999998</v>
      </c>
    </row>
    <row r="110" spans="1:4" x14ac:dyDescent="0.25">
      <c r="A110" s="1">
        <v>45624</v>
      </c>
      <c r="B110">
        <v>7.55</v>
      </c>
      <c r="C110">
        <v>1525.1</v>
      </c>
      <c r="D110">
        <v>1525.1999999999998</v>
      </c>
    </row>
    <row r="111" spans="1:4" x14ac:dyDescent="0.25">
      <c r="A111" s="1">
        <v>45625</v>
      </c>
      <c r="B111">
        <v>7.8</v>
      </c>
      <c r="C111">
        <v>1575.6</v>
      </c>
      <c r="D111">
        <v>1575.6999999999998</v>
      </c>
    </row>
    <row r="112" spans="1:4" x14ac:dyDescent="0.25">
      <c r="A112" s="1">
        <v>45628</v>
      </c>
      <c r="B112">
        <v>7.66</v>
      </c>
      <c r="C112">
        <v>1547.32</v>
      </c>
      <c r="D112">
        <v>1547.4199999999998</v>
      </c>
    </row>
    <row r="113" spans="1:4" x14ac:dyDescent="0.25">
      <c r="A113" s="1">
        <v>45629</v>
      </c>
      <c r="B113">
        <v>7.9</v>
      </c>
      <c r="C113">
        <v>1595.8000000000002</v>
      </c>
      <c r="D113">
        <v>1595.9</v>
      </c>
    </row>
    <row r="114" spans="1:4" x14ac:dyDescent="0.25">
      <c r="A114" s="1">
        <v>45630</v>
      </c>
      <c r="B114">
        <v>8.08</v>
      </c>
      <c r="C114">
        <v>1632.16</v>
      </c>
      <c r="D114">
        <v>1632.26</v>
      </c>
    </row>
    <row r="115" spans="1:4" x14ac:dyDescent="0.25">
      <c r="A115" s="1">
        <v>45631</v>
      </c>
      <c r="B115">
        <v>8.14</v>
      </c>
      <c r="C115">
        <v>1644.2800000000002</v>
      </c>
      <c r="D115">
        <v>1644.38</v>
      </c>
    </row>
    <row r="116" spans="1:4" x14ac:dyDescent="0.25">
      <c r="A116" s="1">
        <v>45632</v>
      </c>
      <c r="B116">
        <v>8.06</v>
      </c>
      <c r="C116">
        <v>1628.1200000000001</v>
      </c>
      <c r="D116">
        <v>1628.22</v>
      </c>
    </row>
    <row r="117" spans="1:4" x14ac:dyDescent="0.25">
      <c r="A117" s="1">
        <v>45635</v>
      </c>
      <c r="B117">
        <v>8</v>
      </c>
      <c r="C117">
        <v>1616</v>
      </c>
      <c r="D117">
        <v>1616.1</v>
      </c>
    </row>
    <row r="118" spans="1:4" x14ac:dyDescent="0.25">
      <c r="A118" s="1">
        <v>45636</v>
      </c>
      <c r="B118">
        <v>7.82</v>
      </c>
      <c r="C118">
        <v>1579.64</v>
      </c>
      <c r="D118">
        <v>1579.74</v>
      </c>
    </row>
    <row r="119" spans="1:4" x14ac:dyDescent="0.25">
      <c r="A119" s="1">
        <v>45637</v>
      </c>
      <c r="B119">
        <v>7.74</v>
      </c>
      <c r="C119">
        <v>1563.48</v>
      </c>
      <c r="D119">
        <v>1563.58</v>
      </c>
    </row>
    <row r="120" spans="1:4" x14ac:dyDescent="0.25">
      <c r="A120" s="1">
        <v>45638</v>
      </c>
      <c r="B120">
        <v>7.79</v>
      </c>
      <c r="C120">
        <v>1573.58</v>
      </c>
      <c r="D120">
        <v>1573.6799999999998</v>
      </c>
    </row>
    <row r="121" spans="1:4" x14ac:dyDescent="0.25">
      <c r="A121" s="1">
        <v>45639</v>
      </c>
      <c r="B121">
        <v>7.73</v>
      </c>
      <c r="C121">
        <v>1561.46</v>
      </c>
      <c r="D121">
        <v>1561.56</v>
      </c>
    </row>
    <row r="122" spans="1:4" x14ac:dyDescent="0.25">
      <c r="A122" s="1">
        <v>45642</v>
      </c>
      <c r="B122">
        <v>7.78</v>
      </c>
      <c r="C122">
        <v>1571.56</v>
      </c>
      <c r="D122">
        <v>1571.6599999999999</v>
      </c>
    </row>
    <row r="123" spans="1:4" x14ac:dyDescent="0.25">
      <c r="A123" s="1">
        <v>45643</v>
      </c>
      <c r="B123">
        <v>8.02</v>
      </c>
      <c r="C123">
        <v>1620.04</v>
      </c>
      <c r="D123">
        <v>1620.1399999999999</v>
      </c>
    </row>
    <row r="124" spans="1:4" x14ac:dyDescent="0.25">
      <c r="A124" s="1">
        <v>45644</v>
      </c>
      <c r="B124">
        <v>8.0399999999999991</v>
      </c>
      <c r="C124">
        <v>1624.08</v>
      </c>
      <c r="D124">
        <v>1624.1799999999998</v>
      </c>
    </row>
    <row r="125" spans="1:4" x14ac:dyDescent="0.25">
      <c r="A125" s="1">
        <v>45645</v>
      </c>
      <c r="B125">
        <v>7.94</v>
      </c>
      <c r="C125">
        <v>1603.88</v>
      </c>
      <c r="D125">
        <v>1603.98</v>
      </c>
    </row>
    <row r="126" spans="1:4" x14ac:dyDescent="0.25">
      <c r="A126" s="1">
        <v>45646</v>
      </c>
      <c r="B126">
        <v>7.97</v>
      </c>
      <c r="C126">
        <v>1609.94</v>
      </c>
      <c r="D126">
        <v>1610.04</v>
      </c>
    </row>
    <row r="127" spans="1:4" x14ac:dyDescent="0.25">
      <c r="A127" s="1">
        <v>45649</v>
      </c>
      <c r="B127">
        <v>8.02</v>
      </c>
      <c r="C127">
        <v>1620.04</v>
      </c>
      <c r="D127">
        <v>1620.1399999999999</v>
      </c>
    </row>
    <row r="128" spans="1:4" x14ac:dyDescent="0.25">
      <c r="A128" s="1">
        <v>45650</v>
      </c>
      <c r="B128">
        <v>8.14</v>
      </c>
      <c r="C128">
        <v>1644.2800000000002</v>
      </c>
      <c r="D128">
        <v>1644.38</v>
      </c>
    </row>
    <row r="129" spans="1:4" x14ac:dyDescent="0.25">
      <c r="A129" s="1">
        <v>45653</v>
      </c>
      <c r="B129">
        <v>8.39</v>
      </c>
      <c r="C129">
        <v>1694.7800000000002</v>
      </c>
      <c r="D129">
        <v>1694.88</v>
      </c>
    </row>
    <row r="130" spans="1:4" x14ac:dyDescent="0.25">
      <c r="A130" s="1">
        <v>45656</v>
      </c>
      <c r="B130">
        <v>8.31</v>
      </c>
      <c r="C130">
        <v>1678.6200000000001</v>
      </c>
      <c r="D130">
        <v>1678.72</v>
      </c>
    </row>
    <row r="131" spans="1:4" x14ac:dyDescent="0.25">
      <c r="A131" s="1">
        <v>45657</v>
      </c>
      <c r="B131">
        <v>8.58</v>
      </c>
      <c r="C131">
        <v>1733.16</v>
      </c>
      <c r="D131">
        <v>1733.26</v>
      </c>
    </row>
    <row r="132" spans="1:4" x14ac:dyDescent="0.25">
      <c r="A132" s="1">
        <v>45659</v>
      </c>
      <c r="B132">
        <v>8.1</v>
      </c>
      <c r="C132">
        <v>1636.1999999999998</v>
      </c>
      <c r="D132">
        <v>1636.2999999999997</v>
      </c>
    </row>
    <row r="133" spans="1:4" x14ac:dyDescent="0.25">
      <c r="A133" s="1">
        <v>45660</v>
      </c>
      <c r="B133">
        <v>8.18</v>
      </c>
      <c r="C133">
        <v>1652.36</v>
      </c>
      <c r="D133">
        <v>1652.4599999999998</v>
      </c>
    </row>
    <row r="134" spans="1:4" x14ac:dyDescent="0.25">
      <c r="A134" s="1">
        <v>45663</v>
      </c>
      <c r="B134">
        <v>8.25</v>
      </c>
      <c r="C134">
        <v>1666.5</v>
      </c>
      <c r="D134">
        <v>1666.6</v>
      </c>
    </row>
    <row r="135" spans="1:4" x14ac:dyDescent="0.25">
      <c r="A135" s="1">
        <v>45664</v>
      </c>
      <c r="B135">
        <v>8.44</v>
      </c>
      <c r="C135">
        <v>1704.8799999999999</v>
      </c>
      <c r="D135">
        <v>1704.9799999999998</v>
      </c>
    </row>
    <row r="136" spans="1:4" x14ac:dyDescent="0.25">
      <c r="A136" s="1">
        <v>45665</v>
      </c>
      <c r="B136">
        <v>8.3800000000000008</v>
      </c>
      <c r="C136">
        <v>1692.7600000000002</v>
      </c>
      <c r="D136">
        <v>1692.8600000000001</v>
      </c>
    </row>
    <row r="137" spans="1:4" x14ac:dyDescent="0.25">
      <c r="A137" s="1">
        <v>45666</v>
      </c>
      <c r="B137">
        <v>8.43</v>
      </c>
      <c r="C137">
        <v>1702.86</v>
      </c>
      <c r="D137">
        <v>1702.9599999999998</v>
      </c>
    </row>
    <row r="138" spans="1:4" x14ac:dyDescent="0.25">
      <c r="A138" s="1">
        <v>45667</v>
      </c>
      <c r="B138">
        <v>8.4</v>
      </c>
      <c r="C138">
        <v>1696.8000000000002</v>
      </c>
      <c r="D138">
        <v>1696.9</v>
      </c>
    </row>
    <row r="139" spans="1:4" x14ac:dyDescent="0.25">
      <c r="A139" s="1">
        <v>45670</v>
      </c>
      <c r="B139">
        <v>8.11</v>
      </c>
      <c r="C139">
        <v>1638.2199999999998</v>
      </c>
      <c r="D139">
        <v>1638.3199999999997</v>
      </c>
    </row>
    <row r="140" spans="1:4" x14ac:dyDescent="0.25">
      <c r="A140" s="1">
        <v>45671</v>
      </c>
      <c r="B140">
        <v>8.0299999999999994</v>
      </c>
      <c r="C140">
        <v>1622.06</v>
      </c>
      <c r="D140">
        <v>1622.1599999999999</v>
      </c>
    </row>
    <row r="141" spans="1:4" x14ac:dyDescent="0.25">
      <c r="A141" s="1">
        <v>45672</v>
      </c>
      <c r="B141">
        <v>7.8</v>
      </c>
      <c r="C141">
        <v>1575.6</v>
      </c>
      <c r="D141">
        <v>1575.6999999999998</v>
      </c>
    </row>
    <row r="142" spans="1:4" x14ac:dyDescent="0.25">
      <c r="A142" s="1">
        <v>45673</v>
      </c>
      <c r="B142">
        <v>7.76</v>
      </c>
      <c r="C142">
        <v>1567.52</v>
      </c>
      <c r="D142">
        <v>1567.62</v>
      </c>
    </row>
    <row r="143" spans="1:4" x14ac:dyDescent="0.25">
      <c r="A143" s="1">
        <v>45674</v>
      </c>
      <c r="B143">
        <v>7.72</v>
      </c>
      <c r="C143">
        <v>1559.44</v>
      </c>
      <c r="D143">
        <v>1559.54</v>
      </c>
    </row>
    <row r="144" spans="1:4" x14ac:dyDescent="0.25">
      <c r="A144" s="1">
        <v>45677</v>
      </c>
      <c r="B144">
        <v>7.91</v>
      </c>
      <c r="C144">
        <v>1597.82</v>
      </c>
      <c r="D144">
        <v>1597.9199999999998</v>
      </c>
    </row>
    <row r="145" spans="1:4" x14ac:dyDescent="0.25">
      <c r="A145" s="1">
        <v>45678</v>
      </c>
      <c r="B145">
        <v>8.1</v>
      </c>
      <c r="C145">
        <v>1636.1999999999998</v>
      </c>
      <c r="D145">
        <v>1636.2999999999997</v>
      </c>
    </row>
    <row r="146" spans="1:4" x14ac:dyDescent="0.25">
      <c r="A146" s="1">
        <v>45679</v>
      </c>
      <c r="B146">
        <v>8.27</v>
      </c>
      <c r="C146">
        <v>1670.54</v>
      </c>
      <c r="D146">
        <v>1670.6399999999999</v>
      </c>
    </row>
    <row r="147" spans="1:4" x14ac:dyDescent="0.25">
      <c r="A147" s="1">
        <v>45680</v>
      </c>
      <c r="B147">
        <v>8.1</v>
      </c>
      <c r="C147">
        <v>1636.1999999999998</v>
      </c>
      <c r="D147">
        <v>1636.2999999999997</v>
      </c>
    </row>
    <row r="148" spans="1:4" x14ac:dyDescent="0.25">
      <c r="A148" s="1">
        <v>45681</v>
      </c>
      <c r="B148">
        <v>8.4</v>
      </c>
      <c r="C148">
        <v>1696.8000000000002</v>
      </c>
      <c r="D148">
        <v>1696.9</v>
      </c>
    </row>
    <row r="149" spans="1:4" x14ac:dyDescent="0.25">
      <c r="A149" s="1">
        <v>45685</v>
      </c>
      <c r="B149">
        <v>8.39</v>
      </c>
      <c r="C149">
        <v>1694.7800000000002</v>
      </c>
      <c r="D149">
        <v>1694.88</v>
      </c>
    </row>
    <row r="150" spans="1:4" x14ac:dyDescent="0.25">
      <c r="A150" s="1">
        <v>45686</v>
      </c>
      <c r="B150">
        <v>8.4499999999999993</v>
      </c>
      <c r="C150">
        <v>1706.8999999999999</v>
      </c>
      <c r="D150">
        <v>1706.9999999999998</v>
      </c>
    </row>
    <row r="151" spans="1:4" x14ac:dyDescent="0.25">
      <c r="A151" s="1">
        <v>45687</v>
      </c>
      <c r="B151">
        <v>8.4</v>
      </c>
      <c r="C151">
        <v>1696.8000000000002</v>
      </c>
      <c r="D151">
        <v>1696.9</v>
      </c>
    </row>
    <row r="152" spans="1:4" x14ac:dyDescent="0.25">
      <c r="A152" s="1">
        <v>45688</v>
      </c>
      <c r="B152">
        <v>8.52</v>
      </c>
      <c r="C152">
        <v>1721.04</v>
      </c>
      <c r="D152">
        <v>1721.1399999999999</v>
      </c>
    </row>
    <row r="153" spans="1:4" x14ac:dyDescent="0.25">
      <c r="A153" s="1">
        <v>45691</v>
      </c>
      <c r="B153">
        <v>8.17</v>
      </c>
      <c r="C153">
        <v>1650.34</v>
      </c>
      <c r="D153">
        <v>1650.4399999999998</v>
      </c>
    </row>
    <row r="154" spans="1:4" x14ac:dyDescent="0.25">
      <c r="A154" s="1">
        <v>45692</v>
      </c>
      <c r="B154">
        <v>8.11</v>
      </c>
      <c r="C154">
        <v>1638.2199999999998</v>
      </c>
      <c r="D154">
        <v>1638.3199999999997</v>
      </c>
    </row>
    <row r="155" spans="1:4" x14ac:dyDescent="0.25">
      <c r="A155" s="1">
        <v>45693</v>
      </c>
      <c r="B155">
        <v>8.09</v>
      </c>
      <c r="C155">
        <v>1634.18</v>
      </c>
      <c r="D155">
        <v>1634.28</v>
      </c>
    </row>
    <row r="156" spans="1:4" x14ac:dyDescent="0.25">
      <c r="A156" s="1">
        <v>45694</v>
      </c>
      <c r="B156">
        <v>8.3000000000000007</v>
      </c>
      <c r="C156">
        <v>1676.6000000000001</v>
      </c>
      <c r="D156">
        <v>1676.7</v>
      </c>
    </row>
    <row r="157" spans="1:4" x14ac:dyDescent="0.25">
      <c r="A157" s="1">
        <v>45695</v>
      </c>
      <c r="B157">
        <v>8.4700000000000006</v>
      </c>
      <c r="C157">
        <v>1710.94</v>
      </c>
      <c r="D157">
        <v>1711.04</v>
      </c>
    </row>
    <row r="158" spans="1:4" x14ac:dyDescent="0.25">
      <c r="A158" s="1">
        <v>45698</v>
      </c>
      <c r="B158">
        <v>8.19</v>
      </c>
      <c r="C158">
        <v>1654.3799999999999</v>
      </c>
      <c r="D158">
        <v>1654.4799999999998</v>
      </c>
    </row>
    <row r="159" spans="1:4" x14ac:dyDescent="0.25">
      <c r="A159" s="1">
        <v>45699</v>
      </c>
      <c r="B159">
        <v>8.19</v>
      </c>
      <c r="C159">
        <v>1654.3799999999999</v>
      </c>
      <c r="D159">
        <v>1654.4799999999998</v>
      </c>
    </row>
    <row r="160" spans="1:4" x14ac:dyDescent="0.25">
      <c r="A160" s="1">
        <v>45700</v>
      </c>
      <c r="B160">
        <v>8.16</v>
      </c>
      <c r="C160">
        <v>1648.32</v>
      </c>
      <c r="D160">
        <v>1648.4199999999998</v>
      </c>
    </row>
    <row r="161" spans="1:4" x14ac:dyDescent="0.25">
      <c r="A161" s="1">
        <v>45701</v>
      </c>
      <c r="B161">
        <v>8.16</v>
      </c>
      <c r="C161">
        <v>1648.32</v>
      </c>
      <c r="D161">
        <v>1648.4199999999998</v>
      </c>
    </row>
    <row r="162" spans="1:4" x14ac:dyDescent="0.25">
      <c r="A162" s="1">
        <v>45702</v>
      </c>
      <c r="B162">
        <v>8.3000000000000007</v>
      </c>
      <c r="C162">
        <v>1676.6000000000001</v>
      </c>
      <c r="D162">
        <v>1676.7</v>
      </c>
    </row>
    <row r="163" spans="1:4" x14ac:dyDescent="0.25">
      <c r="A163" s="1">
        <v>45705</v>
      </c>
      <c r="B163">
        <v>8.4</v>
      </c>
      <c r="C163">
        <v>1696.8000000000002</v>
      </c>
      <c r="D163">
        <v>1696.9</v>
      </c>
    </row>
    <row r="164" spans="1:4" x14ac:dyDescent="0.25">
      <c r="A164" s="1">
        <v>45706</v>
      </c>
      <c r="B164">
        <v>8.43</v>
      </c>
      <c r="C164">
        <v>1702.86</v>
      </c>
      <c r="D164">
        <v>1702.9599999999998</v>
      </c>
    </row>
    <row r="165" spans="1:4" x14ac:dyDescent="0.25">
      <c r="A165" s="1">
        <v>45707</v>
      </c>
      <c r="B165">
        <v>8.48</v>
      </c>
      <c r="C165">
        <v>1712.96</v>
      </c>
      <c r="D165">
        <v>1713.06</v>
      </c>
    </row>
    <row r="166" spans="1:4" x14ac:dyDescent="0.25">
      <c r="A166" s="1">
        <v>45708</v>
      </c>
      <c r="B166">
        <v>9.3000000000000007</v>
      </c>
      <c r="C166">
        <v>1878.6</v>
      </c>
      <c r="D166">
        <v>1878.7</v>
      </c>
    </row>
    <row r="167" spans="1:4" x14ac:dyDescent="0.25">
      <c r="A167" s="1">
        <v>45709</v>
      </c>
      <c r="B167">
        <v>9.17</v>
      </c>
      <c r="C167">
        <v>1852.34</v>
      </c>
      <c r="D167">
        <v>1852.4399999999998</v>
      </c>
    </row>
    <row r="168" spans="1:4" x14ac:dyDescent="0.25">
      <c r="A168" s="1">
        <v>45712</v>
      </c>
      <c r="B168">
        <v>8.85</v>
      </c>
      <c r="C168">
        <v>1787.6999999999998</v>
      </c>
      <c r="D168">
        <v>1787.7999999999997</v>
      </c>
    </row>
    <row r="169" spans="1:4" x14ac:dyDescent="0.25">
      <c r="A169" s="1">
        <v>45713</v>
      </c>
      <c r="B169">
        <v>8.69</v>
      </c>
      <c r="C169">
        <v>1755.3799999999999</v>
      </c>
      <c r="D169">
        <v>1755.4799999999998</v>
      </c>
    </row>
    <row r="170" spans="1:4" x14ac:dyDescent="0.25">
      <c r="A170" s="1">
        <v>45714</v>
      </c>
      <c r="B170">
        <v>8.86</v>
      </c>
      <c r="C170">
        <v>1789.7199999999998</v>
      </c>
      <c r="D170">
        <v>1789.8199999999997</v>
      </c>
    </row>
    <row r="171" spans="1:4" x14ac:dyDescent="0.25">
      <c r="A171" s="1">
        <v>45715</v>
      </c>
      <c r="B171">
        <v>8.94</v>
      </c>
      <c r="C171">
        <v>1805.8799999999999</v>
      </c>
      <c r="D171">
        <v>1805.9799999999998</v>
      </c>
    </row>
    <row r="172" spans="1:4" x14ac:dyDescent="0.25">
      <c r="A172" s="1">
        <v>45716</v>
      </c>
      <c r="B172">
        <v>8.6999999999999993</v>
      </c>
      <c r="C172">
        <v>1757.3999999999999</v>
      </c>
      <c r="D172">
        <v>1757.4999999999998</v>
      </c>
    </row>
    <row r="173" spans="1:4" x14ac:dyDescent="0.25">
      <c r="A173" s="1">
        <v>45719</v>
      </c>
      <c r="B173">
        <v>8.4499999999999993</v>
      </c>
      <c r="C173">
        <v>1706.8999999999999</v>
      </c>
      <c r="D173">
        <v>1706.9999999999998</v>
      </c>
    </row>
    <row r="174" spans="1:4" x14ac:dyDescent="0.25">
      <c r="A174" s="1">
        <v>45720</v>
      </c>
      <c r="B174">
        <v>8.36</v>
      </c>
      <c r="C174">
        <v>1688.7199999999998</v>
      </c>
      <c r="D174">
        <v>1688.8199999999997</v>
      </c>
    </row>
    <row r="175" spans="1:4" x14ac:dyDescent="0.25">
      <c r="A175" s="1">
        <v>45721</v>
      </c>
      <c r="B175">
        <v>8.4</v>
      </c>
      <c r="C175">
        <v>1696.8000000000002</v>
      </c>
      <c r="D175">
        <v>1696.9</v>
      </c>
    </row>
    <row r="176" spans="1:4" x14ac:dyDescent="0.25">
      <c r="A176" s="1">
        <v>45722</v>
      </c>
      <c r="B176">
        <v>8.14</v>
      </c>
      <c r="C176">
        <v>1644.2800000000002</v>
      </c>
      <c r="D176">
        <v>1644.38</v>
      </c>
    </row>
    <row r="177" spans="1:4" x14ac:dyDescent="0.25">
      <c r="A177" s="1">
        <v>45723</v>
      </c>
      <c r="B177">
        <v>7.93</v>
      </c>
      <c r="C177">
        <v>1601.86</v>
      </c>
      <c r="D177">
        <v>1601.9599999999998</v>
      </c>
    </row>
    <row r="178" spans="1:4" x14ac:dyDescent="0.25">
      <c r="A178" s="1">
        <v>45726</v>
      </c>
      <c r="B178">
        <v>8.02</v>
      </c>
      <c r="C178">
        <v>1620.04</v>
      </c>
      <c r="D178">
        <v>1620.1399999999999</v>
      </c>
    </row>
    <row r="179" spans="1:4" x14ac:dyDescent="0.25">
      <c r="A179" s="1">
        <v>45727</v>
      </c>
      <c r="B179">
        <v>7.55</v>
      </c>
      <c r="C179">
        <v>1525.1</v>
      </c>
      <c r="D179">
        <v>1525.1999999999998</v>
      </c>
    </row>
    <row r="180" spans="1:4" x14ac:dyDescent="0.25">
      <c r="A180" s="1">
        <v>45728</v>
      </c>
      <c r="B180">
        <v>7.42</v>
      </c>
      <c r="C180">
        <v>1498.84</v>
      </c>
      <c r="D180">
        <v>1498.9399999999998</v>
      </c>
    </row>
    <row r="181" spans="1:4" x14ac:dyDescent="0.25">
      <c r="A181" s="1">
        <v>45729</v>
      </c>
      <c r="B181">
        <v>7.4</v>
      </c>
      <c r="C181">
        <v>1494.8000000000002</v>
      </c>
      <c r="D181">
        <v>1494.9</v>
      </c>
    </row>
    <row r="182" spans="1:4" x14ac:dyDescent="0.25">
      <c r="A182" s="1">
        <v>45730</v>
      </c>
      <c r="B182">
        <v>7.4</v>
      </c>
      <c r="C182">
        <v>1494.8000000000002</v>
      </c>
      <c r="D182">
        <v>1494.9</v>
      </c>
    </row>
    <row r="183" spans="1:4" x14ac:dyDescent="0.25">
      <c r="A183" s="1">
        <v>45733</v>
      </c>
      <c r="B183">
        <v>7.65</v>
      </c>
      <c r="C183">
        <v>1545.3000000000002</v>
      </c>
      <c r="D183">
        <v>1545.4</v>
      </c>
    </row>
    <row r="184" spans="1:4" x14ac:dyDescent="0.25">
      <c r="A184" s="1">
        <v>45734</v>
      </c>
      <c r="B184">
        <v>7.9</v>
      </c>
      <c r="C184">
        <v>1595.8000000000002</v>
      </c>
      <c r="D184">
        <v>1595.9</v>
      </c>
    </row>
    <row r="185" spans="1:4" x14ac:dyDescent="0.25">
      <c r="A185" s="1">
        <v>45735</v>
      </c>
      <c r="B185">
        <v>7.49</v>
      </c>
      <c r="C185">
        <v>1512.98</v>
      </c>
      <c r="D185">
        <v>1513.08</v>
      </c>
    </row>
    <row r="186" spans="1:4" x14ac:dyDescent="0.25">
      <c r="A186" s="1">
        <v>45736</v>
      </c>
      <c r="B186">
        <v>7.5</v>
      </c>
      <c r="C186">
        <v>1515</v>
      </c>
      <c r="D186">
        <v>1515.1</v>
      </c>
    </row>
    <row r="187" spans="1:4" x14ac:dyDescent="0.25">
      <c r="A187" s="1">
        <v>45737</v>
      </c>
      <c r="B187">
        <v>7.53</v>
      </c>
      <c r="C187">
        <v>1521.06</v>
      </c>
      <c r="D187">
        <v>1521.1599999999999</v>
      </c>
    </row>
    <row r="188" spans="1:4" x14ac:dyDescent="0.25">
      <c r="A188" s="1">
        <v>45740</v>
      </c>
      <c r="B188">
        <v>7.59</v>
      </c>
      <c r="C188">
        <v>1533.18</v>
      </c>
      <c r="D188">
        <v>1533.28</v>
      </c>
    </row>
    <row r="189" spans="1:4" x14ac:dyDescent="0.25">
      <c r="A189" s="1">
        <v>45741</v>
      </c>
      <c r="B189">
        <v>7.95</v>
      </c>
      <c r="C189">
        <v>1605.9</v>
      </c>
      <c r="D189">
        <v>1606</v>
      </c>
    </row>
    <row r="190" spans="1:4" x14ac:dyDescent="0.25">
      <c r="A190" s="1">
        <v>45742</v>
      </c>
      <c r="B190">
        <v>8.0399999999999991</v>
      </c>
      <c r="C190">
        <v>1624.08</v>
      </c>
      <c r="D190">
        <v>1624.1799999999998</v>
      </c>
    </row>
    <row r="191" spans="1:4" x14ac:dyDescent="0.25">
      <c r="A191" s="1">
        <v>45743</v>
      </c>
      <c r="B191">
        <v>8</v>
      </c>
      <c r="C191">
        <v>1616</v>
      </c>
      <c r="D191">
        <v>1616.1</v>
      </c>
    </row>
    <row r="192" spans="1:4" x14ac:dyDescent="0.25">
      <c r="A192" s="1">
        <v>45744</v>
      </c>
      <c r="B192">
        <v>8.1199999999999992</v>
      </c>
      <c r="C192">
        <v>1640.2399999999998</v>
      </c>
      <c r="D192">
        <v>1640.3399999999997</v>
      </c>
    </row>
    <row r="193" spans="1:4" x14ac:dyDescent="0.25">
      <c r="A193" s="1">
        <v>45747</v>
      </c>
      <c r="B193">
        <v>7.72</v>
      </c>
      <c r="C193">
        <v>1559.44</v>
      </c>
      <c r="D193">
        <v>1559.54</v>
      </c>
    </row>
    <row r="194" spans="1:4" x14ac:dyDescent="0.25">
      <c r="A194" s="1">
        <v>45748</v>
      </c>
      <c r="B194">
        <v>7.46</v>
      </c>
      <c r="C194">
        <v>1506.92</v>
      </c>
      <c r="D194">
        <v>1507.02</v>
      </c>
    </row>
    <row r="195" spans="1:4" x14ac:dyDescent="0.25">
      <c r="A195" s="1">
        <v>45749</v>
      </c>
      <c r="B195">
        <v>7.4</v>
      </c>
      <c r="C195">
        <v>1494.8000000000002</v>
      </c>
      <c r="D195">
        <v>1494.9</v>
      </c>
    </row>
    <row r="196" spans="1:4" x14ac:dyDescent="0.25">
      <c r="A196" s="1">
        <v>45750</v>
      </c>
      <c r="B196">
        <v>7.53</v>
      </c>
      <c r="C196">
        <v>1521.06</v>
      </c>
      <c r="D196">
        <v>1521.1599999999999</v>
      </c>
    </row>
    <row r="197" spans="1:4" x14ac:dyDescent="0.25">
      <c r="A197" s="1">
        <v>45751</v>
      </c>
      <c r="B197">
        <v>7.2</v>
      </c>
      <c r="C197">
        <v>1454.4</v>
      </c>
      <c r="D197">
        <v>1454.5</v>
      </c>
    </row>
    <row r="198" spans="1:4" x14ac:dyDescent="0.25">
      <c r="A198" s="1">
        <v>45754</v>
      </c>
      <c r="B198">
        <v>6.95</v>
      </c>
      <c r="C198">
        <v>1403.9</v>
      </c>
      <c r="D198">
        <v>1404</v>
      </c>
    </row>
    <row r="199" spans="1:4" x14ac:dyDescent="0.25">
      <c r="A199" s="1">
        <v>45755</v>
      </c>
      <c r="B199">
        <v>6.91</v>
      </c>
      <c r="C199">
        <v>1395.82</v>
      </c>
      <c r="D199">
        <v>1395.9199999999998</v>
      </c>
    </row>
    <row r="200" spans="1:4" x14ac:dyDescent="0.25">
      <c r="A200" s="1">
        <v>45756</v>
      </c>
      <c r="B200">
        <v>6.86</v>
      </c>
      <c r="C200">
        <v>1385.72</v>
      </c>
      <c r="D200">
        <v>1385.82</v>
      </c>
    </row>
    <row r="201" spans="1:4" x14ac:dyDescent="0.25">
      <c r="A201" s="1">
        <v>45757</v>
      </c>
      <c r="B201">
        <v>7.45</v>
      </c>
      <c r="C201">
        <v>1504.9</v>
      </c>
      <c r="D201">
        <v>1505</v>
      </c>
    </row>
    <row r="202" spans="1:4" x14ac:dyDescent="0.25">
      <c r="A202" s="1">
        <v>45758</v>
      </c>
      <c r="B202">
        <v>7.2</v>
      </c>
      <c r="C202">
        <v>1454.4</v>
      </c>
      <c r="D202">
        <v>1454.5</v>
      </c>
    </row>
    <row r="203" spans="1:4" x14ac:dyDescent="0.25">
      <c r="A203" s="1">
        <v>45761</v>
      </c>
      <c r="B203">
        <v>7.34</v>
      </c>
      <c r="C203">
        <v>1482.68</v>
      </c>
      <c r="D203">
        <v>1482.78</v>
      </c>
    </row>
    <row r="204" spans="1:4" x14ac:dyDescent="0.25">
      <c r="A204" s="1">
        <v>45762</v>
      </c>
      <c r="B204">
        <v>7.46</v>
      </c>
      <c r="C204">
        <v>1506.92</v>
      </c>
      <c r="D204">
        <v>1507.02</v>
      </c>
    </row>
    <row r="205" spans="1:4" x14ac:dyDescent="0.25">
      <c r="A205" s="1">
        <v>45763</v>
      </c>
      <c r="B205">
        <v>7.5</v>
      </c>
      <c r="C205">
        <v>1515</v>
      </c>
      <c r="D205">
        <v>1515.1</v>
      </c>
    </row>
    <row r="206" spans="1:4" x14ac:dyDescent="0.25">
      <c r="A206" s="1">
        <v>45764</v>
      </c>
      <c r="B206">
        <v>7.45</v>
      </c>
      <c r="C206">
        <v>1504.9</v>
      </c>
      <c r="D206">
        <v>1505</v>
      </c>
    </row>
    <row r="207" spans="1:4" x14ac:dyDescent="0.25">
      <c r="A207" s="1">
        <v>45769</v>
      </c>
      <c r="B207">
        <v>7.34</v>
      </c>
      <c r="C207">
        <v>1482.68</v>
      </c>
      <c r="D207">
        <v>1482.78</v>
      </c>
    </row>
    <row r="208" spans="1:4" x14ac:dyDescent="0.25">
      <c r="A208" s="1">
        <v>45770</v>
      </c>
      <c r="B208">
        <v>7.76</v>
      </c>
      <c r="C208">
        <v>1567.52</v>
      </c>
      <c r="D208">
        <v>1567.62</v>
      </c>
    </row>
    <row r="209" spans="1:4" x14ac:dyDescent="0.25">
      <c r="A209" s="1">
        <v>45771</v>
      </c>
      <c r="B209">
        <v>7.65</v>
      </c>
      <c r="C209">
        <v>1545.3000000000002</v>
      </c>
      <c r="D209">
        <v>1545.4</v>
      </c>
    </row>
    <row r="210" spans="1:4" x14ac:dyDescent="0.25">
      <c r="A210" s="1">
        <v>45775</v>
      </c>
      <c r="B210">
        <v>7.65</v>
      </c>
      <c r="C210">
        <v>1545.3000000000002</v>
      </c>
      <c r="D210">
        <v>1545.4</v>
      </c>
    </row>
    <row r="211" spans="1:4" x14ac:dyDescent="0.25">
      <c r="A211" s="1">
        <v>45776</v>
      </c>
      <c r="B211">
        <v>7.87</v>
      </c>
      <c r="C211">
        <v>1589.74</v>
      </c>
      <c r="D211">
        <v>1589.84</v>
      </c>
    </row>
    <row r="212" spans="1:4" x14ac:dyDescent="0.25">
      <c r="A212" s="1">
        <v>45777</v>
      </c>
      <c r="B212">
        <v>7.74</v>
      </c>
      <c r="C212">
        <v>1563.48</v>
      </c>
      <c r="D212">
        <v>1563.58</v>
      </c>
    </row>
    <row r="213" spans="1:4" x14ac:dyDescent="0.25">
      <c r="A213" s="1">
        <v>45778</v>
      </c>
      <c r="B213">
        <v>7.65</v>
      </c>
      <c r="C213">
        <v>1545.3000000000002</v>
      </c>
      <c r="D213">
        <v>1545.4</v>
      </c>
    </row>
    <row r="214" spans="1:4" x14ac:dyDescent="0.25">
      <c r="A214" s="1">
        <v>45779</v>
      </c>
      <c r="B214">
        <v>7.81</v>
      </c>
      <c r="C214">
        <v>1577.62</v>
      </c>
      <c r="D214">
        <v>1577.7199999999998</v>
      </c>
    </row>
    <row r="215" spans="1:4" x14ac:dyDescent="0.25">
      <c r="A215" s="1">
        <v>45782</v>
      </c>
      <c r="B215">
        <v>7.67</v>
      </c>
      <c r="C215">
        <v>1549.34</v>
      </c>
      <c r="D215">
        <v>1549.4399999999998</v>
      </c>
    </row>
    <row r="216" spans="1:4" x14ac:dyDescent="0.25">
      <c r="A216" s="1">
        <v>45783</v>
      </c>
      <c r="B216">
        <v>7.79</v>
      </c>
      <c r="C216">
        <v>1573.58</v>
      </c>
      <c r="D216">
        <v>1573.6799999999998</v>
      </c>
    </row>
    <row r="217" spans="1:4" x14ac:dyDescent="0.25">
      <c r="A217" s="1">
        <v>45784</v>
      </c>
      <c r="B217">
        <v>7.86</v>
      </c>
      <c r="C217">
        <v>1587.72</v>
      </c>
      <c r="D217">
        <v>1587.82</v>
      </c>
    </row>
    <row r="218" spans="1:4" x14ac:dyDescent="0.25">
      <c r="A218" s="1">
        <v>45785</v>
      </c>
      <c r="B218">
        <v>7.9</v>
      </c>
      <c r="C218">
        <v>1595.8000000000002</v>
      </c>
      <c r="D218">
        <v>1595.9</v>
      </c>
    </row>
    <row r="219" spans="1:4" x14ac:dyDescent="0.25">
      <c r="A219" s="1">
        <v>45786</v>
      </c>
      <c r="B219">
        <v>7.94</v>
      </c>
      <c r="C219">
        <v>1603.88</v>
      </c>
      <c r="D219">
        <v>1603.98</v>
      </c>
    </row>
    <row r="220" spans="1:4" x14ac:dyDescent="0.25">
      <c r="A220" s="1">
        <v>45789</v>
      </c>
      <c r="B220">
        <v>8.17</v>
      </c>
      <c r="C220">
        <v>1650.34</v>
      </c>
      <c r="D220">
        <v>1650.4399999999998</v>
      </c>
    </row>
    <row r="221" spans="1:4" x14ac:dyDescent="0.25">
      <c r="A221" s="1">
        <v>45790</v>
      </c>
      <c r="B221">
        <v>8.64</v>
      </c>
      <c r="C221">
        <v>1745.2800000000002</v>
      </c>
      <c r="D221">
        <v>1745.38</v>
      </c>
    </row>
    <row r="222" spans="1:4" x14ac:dyDescent="0.25">
      <c r="A222" s="1">
        <v>45791</v>
      </c>
      <c r="B222">
        <v>8.2899999999999991</v>
      </c>
      <c r="C222">
        <v>1674.58</v>
      </c>
      <c r="D222">
        <v>1674.6799999999998</v>
      </c>
    </row>
    <row r="223" spans="1:4" x14ac:dyDescent="0.25">
      <c r="A223" s="1">
        <v>45792</v>
      </c>
      <c r="B223">
        <v>8.4</v>
      </c>
      <c r="C223">
        <v>1696.8000000000002</v>
      </c>
      <c r="D223">
        <v>1696.9</v>
      </c>
    </row>
    <row r="224" spans="1:4" x14ac:dyDescent="0.25">
      <c r="A224" s="1">
        <v>45793</v>
      </c>
      <c r="B224">
        <v>8.35</v>
      </c>
      <c r="C224">
        <v>1686.6999999999998</v>
      </c>
      <c r="D224">
        <v>1686.7999999999997</v>
      </c>
    </row>
    <row r="225" spans="1:4" x14ac:dyDescent="0.25">
      <c r="A225" s="1">
        <v>45796</v>
      </c>
      <c r="B225">
        <v>8.16</v>
      </c>
      <c r="C225">
        <v>1648.32</v>
      </c>
      <c r="D225">
        <v>1648.4199999999998</v>
      </c>
    </row>
    <row r="226" spans="1:4" x14ac:dyDescent="0.25">
      <c r="A226" s="1">
        <v>45797</v>
      </c>
      <c r="B226">
        <v>8.18</v>
      </c>
      <c r="C226">
        <v>1652.36</v>
      </c>
      <c r="D226">
        <v>1652.4599999999998</v>
      </c>
    </row>
    <row r="227" spans="1:4" x14ac:dyDescent="0.25">
      <c r="A227" s="1">
        <v>45798</v>
      </c>
      <c r="B227">
        <v>7.71</v>
      </c>
      <c r="C227">
        <v>1557.42</v>
      </c>
      <c r="D227">
        <v>1557.52</v>
      </c>
    </row>
    <row r="228" spans="1:4" x14ac:dyDescent="0.25">
      <c r="A228" s="1">
        <v>45799</v>
      </c>
      <c r="B228">
        <v>7.61</v>
      </c>
      <c r="C228">
        <v>1537.22</v>
      </c>
      <c r="D228">
        <v>1537.32</v>
      </c>
    </row>
    <row r="229" spans="1:4" x14ac:dyDescent="0.25">
      <c r="A229" s="1">
        <v>45800</v>
      </c>
      <c r="B229">
        <v>7.65</v>
      </c>
      <c r="C229">
        <v>1545.3000000000002</v>
      </c>
      <c r="D229">
        <v>1545.4</v>
      </c>
    </row>
    <row r="230" spans="1:4" x14ac:dyDescent="0.25">
      <c r="A230" s="1">
        <v>45803</v>
      </c>
      <c r="B230">
        <v>7.42</v>
      </c>
      <c r="C230">
        <v>1498.84</v>
      </c>
      <c r="D230">
        <v>1498.9399999999998</v>
      </c>
    </row>
    <row r="231" spans="1:4" x14ac:dyDescent="0.25">
      <c r="A231" s="1">
        <v>45804</v>
      </c>
      <c r="B231">
        <v>7.28</v>
      </c>
      <c r="C231">
        <v>1470.56</v>
      </c>
      <c r="D231">
        <v>1470.6599999999999</v>
      </c>
    </row>
    <row r="232" spans="1:4" x14ac:dyDescent="0.25">
      <c r="A232" s="1">
        <v>45805</v>
      </c>
      <c r="B232">
        <v>7.49</v>
      </c>
      <c r="C232">
        <v>1512.98</v>
      </c>
      <c r="D232">
        <v>1513.08</v>
      </c>
    </row>
    <row r="233" spans="1:4" x14ac:dyDescent="0.25">
      <c r="A233" s="1">
        <v>45806</v>
      </c>
      <c r="B233">
        <v>7.51</v>
      </c>
      <c r="C233">
        <v>1517.02</v>
      </c>
      <c r="D233">
        <v>1517.12</v>
      </c>
    </row>
    <row r="234" spans="1:4" x14ac:dyDescent="0.25">
      <c r="A234" s="1">
        <v>45807</v>
      </c>
      <c r="B234">
        <v>7.77</v>
      </c>
      <c r="C234">
        <v>1569.54</v>
      </c>
      <c r="D234">
        <v>1569.6399999999999</v>
      </c>
    </row>
    <row r="235" spans="1:4" x14ac:dyDescent="0.25">
      <c r="A235" s="1">
        <v>45810</v>
      </c>
      <c r="B235">
        <v>7.58</v>
      </c>
      <c r="C235">
        <v>1531.16</v>
      </c>
      <c r="D235">
        <v>1531.26</v>
      </c>
    </row>
    <row r="236" spans="1:4" x14ac:dyDescent="0.25">
      <c r="A236" s="1">
        <v>45811</v>
      </c>
      <c r="B236">
        <v>7.6</v>
      </c>
      <c r="C236">
        <v>1535.1999999999998</v>
      </c>
      <c r="D236">
        <v>1535.2999999999997</v>
      </c>
    </row>
    <row r="237" spans="1:4" x14ac:dyDescent="0.25">
      <c r="A237" s="1">
        <v>45812</v>
      </c>
      <c r="B237">
        <v>7.88</v>
      </c>
      <c r="C237">
        <v>1591.76</v>
      </c>
      <c r="D237">
        <v>1591.86</v>
      </c>
    </row>
    <row r="238" spans="1:4" x14ac:dyDescent="0.25">
      <c r="A238" s="1">
        <v>45813</v>
      </c>
      <c r="B238">
        <v>7.85</v>
      </c>
      <c r="C238">
        <v>1585.6999999999998</v>
      </c>
      <c r="D238">
        <v>1585.7999999999997</v>
      </c>
    </row>
    <row r="239" spans="1:4" x14ac:dyDescent="0.25">
      <c r="A239" s="1">
        <v>45814</v>
      </c>
      <c r="B239">
        <v>7.85</v>
      </c>
      <c r="C239">
        <v>1585.6999999999998</v>
      </c>
      <c r="D239">
        <v>1585.7999999999997</v>
      </c>
    </row>
    <row r="240" spans="1:4" x14ac:dyDescent="0.25">
      <c r="A240" s="1">
        <v>45818</v>
      </c>
      <c r="B240">
        <v>7.84</v>
      </c>
      <c r="C240">
        <v>1583.68</v>
      </c>
      <c r="D240">
        <v>1583.78</v>
      </c>
    </row>
    <row r="241" spans="1:4" x14ac:dyDescent="0.25">
      <c r="A241" s="1">
        <v>45819</v>
      </c>
      <c r="B241">
        <v>7.76</v>
      </c>
      <c r="C241">
        <v>1567.52</v>
      </c>
      <c r="D241">
        <v>1567.62</v>
      </c>
    </row>
    <row r="242" spans="1:4" x14ac:dyDescent="0.25">
      <c r="A242" s="1">
        <v>45820</v>
      </c>
      <c r="B242">
        <v>7.58</v>
      </c>
      <c r="C242">
        <v>1531.16</v>
      </c>
      <c r="D242">
        <v>1531.26</v>
      </c>
    </row>
    <row r="243" spans="1:4" x14ac:dyDescent="0.25">
      <c r="A243" s="1">
        <v>45821</v>
      </c>
      <c r="B243">
        <v>7.4</v>
      </c>
      <c r="C243">
        <v>1494.8000000000002</v>
      </c>
      <c r="D243">
        <v>1494.9</v>
      </c>
    </row>
    <row r="244" spans="1:4" x14ac:dyDescent="0.25">
      <c r="A244" s="1">
        <v>45824</v>
      </c>
      <c r="B244">
        <v>7.46</v>
      </c>
      <c r="C244">
        <v>1506.92</v>
      </c>
      <c r="D244">
        <v>1507.02</v>
      </c>
    </row>
    <row r="245" spans="1:4" x14ac:dyDescent="0.25">
      <c r="A245" s="1">
        <v>45825</v>
      </c>
      <c r="B245">
        <v>7.78</v>
      </c>
      <c r="C245">
        <v>1571.56</v>
      </c>
      <c r="D245">
        <v>1571.6599999999999</v>
      </c>
    </row>
    <row r="246" spans="1:4" x14ac:dyDescent="0.25">
      <c r="A246" s="1">
        <v>45826</v>
      </c>
      <c r="B246">
        <v>7.59</v>
      </c>
      <c r="C246">
        <v>1533.18</v>
      </c>
      <c r="D246">
        <v>1533.28</v>
      </c>
    </row>
    <row r="247" spans="1:4" x14ac:dyDescent="0.25">
      <c r="A247" s="1">
        <v>45827</v>
      </c>
      <c r="B247">
        <v>7.43</v>
      </c>
      <c r="C247">
        <v>1500.86</v>
      </c>
      <c r="D247">
        <v>1500.9599999999998</v>
      </c>
    </row>
    <row r="248" spans="1:4" x14ac:dyDescent="0.25">
      <c r="A248" s="1">
        <v>45828</v>
      </c>
      <c r="B248">
        <v>7.38</v>
      </c>
      <c r="C248">
        <v>1490.76</v>
      </c>
      <c r="D248">
        <v>1490.86</v>
      </c>
    </row>
    <row r="249" spans="1:4" x14ac:dyDescent="0.25">
      <c r="A249" s="1">
        <v>45831</v>
      </c>
      <c r="B249">
        <v>7.36</v>
      </c>
      <c r="C249">
        <v>1486.72</v>
      </c>
      <c r="D249">
        <v>1486.82</v>
      </c>
    </row>
    <row r="250" spans="1:4" x14ac:dyDescent="0.25">
      <c r="A250" s="1">
        <v>45832</v>
      </c>
      <c r="B250">
        <v>7.27</v>
      </c>
      <c r="C250">
        <v>1468.54</v>
      </c>
      <c r="D250">
        <v>1468.6399999999999</v>
      </c>
    </row>
    <row r="251" spans="1:4" x14ac:dyDescent="0.25">
      <c r="A251" s="1">
        <v>45833</v>
      </c>
      <c r="B251">
        <v>7.35</v>
      </c>
      <c r="C251">
        <v>1484.6999999999998</v>
      </c>
      <c r="D251">
        <v>1484.7999999999997</v>
      </c>
    </row>
    <row r="252" spans="1:4" x14ac:dyDescent="0.25">
      <c r="A252" s="1">
        <v>45834</v>
      </c>
      <c r="B252">
        <v>7.44</v>
      </c>
      <c r="C252">
        <v>1502.88</v>
      </c>
      <c r="D252">
        <v>1502.98</v>
      </c>
    </row>
    <row r="253" spans="1:4" x14ac:dyDescent="0.25">
      <c r="A253" s="1">
        <v>45835</v>
      </c>
      <c r="B253">
        <v>7.61</v>
      </c>
      <c r="C253">
        <v>1537.22</v>
      </c>
      <c r="D253">
        <v>1537.32</v>
      </c>
    </row>
    <row r="254" spans="1:4" x14ac:dyDescent="0.25">
      <c r="A254" s="1">
        <v>45838</v>
      </c>
      <c r="B254">
        <v>7.78</v>
      </c>
      <c r="C254">
        <v>1571.56</v>
      </c>
      <c r="D254">
        <v>1687.81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3523-D5E1-4106-8409-4B72295CCB53}">
  <dimension ref="A1:AA254"/>
  <sheetViews>
    <sheetView topLeftCell="A11" zoomScale="55" zoomScaleNormal="55" workbookViewId="0">
      <selection activeCell="W55" sqref="W55"/>
    </sheetView>
  </sheetViews>
  <sheetFormatPr defaultRowHeight="13.2" x14ac:dyDescent="0.25"/>
  <cols>
    <col min="1" max="1" width="17" style="6" bestFit="1" customWidth="1"/>
    <col min="4" max="4" width="10.109375" bestFit="1" customWidth="1"/>
    <col min="9" max="10" width="10.88671875" style="6" bestFit="1" customWidth="1"/>
    <col min="16" max="16" width="13.88671875" bestFit="1" customWidth="1"/>
    <col min="17" max="17" width="18.5546875" bestFit="1" customWidth="1"/>
    <col min="20" max="20" width="6" bestFit="1" customWidth="1"/>
    <col min="22" max="23" width="10.88671875" bestFit="1" customWidth="1"/>
    <col min="26" max="26" width="7.88671875" bestFit="1" customWidth="1"/>
    <col min="27" max="27" width="19.33203125" bestFit="1" customWidth="1"/>
  </cols>
  <sheetData>
    <row r="1" spans="1:27" x14ac:dyDescent="0.25">
      <c r="A1" s="6" t="s">
        <v>2</v>
      </c>
      <c r="B1" t="s">
        <v>6</v>
      </c>
      <c r="C1" t="s">
        <v>42</v>
      </c>
      <c r="D1" t="s">
        <v>43</v>
      </c>
    </row>
    <row r="2" spans="1:27" x14ac:dyDescent="0.25">
      <c r="A2" s="6">
        <v>45474</v>
      </c>
      <c r="B2">
        <v>4.95</v>
      </c>
    </row>
    <row r="3" spans="1:27" x14ac:dyDescent="0.25">
      <c r="A3" s="6">
        <v>45475</v>
      </c>
      <c r="B3">
        <v>4.96</v>
      </c>
    </row>
    <row r="4" spans="1:27" x14ac:dyDescent="0.25">
      <c r="A4" s="6">
        <v>45476</v>
      </c>
      <c r="B4">
        <v>4.8099999999999996</v>
      </c>
    </row>
    <row r="5" spans="1:27" x14ac:dyDescent="0.25">
      <c r="A5" s="6">
        <v>45477</v>
      </c>
      <c r="B5">
        <v>4.84</v>
      </c>
    </row>
    <row r="6" spans="1:27" x14ac:dyDescent="0.25">
      <c r="A6" s="6">
        <v>45478</v>
      </c>
      <c r="B6">
        <v>4.82</v>
      </c>
    </row>
    <row r="7" spans="1:27" ht="14.4" x14ac:dyDescent="0.25">
      <c r="A7" s="6">
        <v>45481</v>
      </c>
      <c r="B7">
        <v>4.8099999999999996</v>
      </c>
      <c r="H7" s="14" t="s">
        <v>38</v>
      </c>
      <c r="I7" s="18" t="s">
        <v>24</v>
      </c>
      <c r="J7" s="18" t="s">
        <v>26</v>
      </c>
      <c r="K7" s="14" t="s">
        <v>25</v>
      </c>
      <c r="L7" s="14" t="s">
        <v>27</v>
      </c>
      <c r="M7" s="14" t="s">
        <v>29</v>
      </c>
      <c r="N7" s="14" t="s">
        <v>39</v>
      </c>
      <c r="O7" s="14" t="s">
        <v>40</v>
      </c>
      <c r="P7" s="14" t="s">
        <v>41</v>
      </c>
      <c r="Q7" s="14" t="s">
        <v>44</v>
      </c>
      <c r="U7" s="17" t="s">
        <v>45</v>
      </c>
      <c r="V7" s="17" t="s">
        <v>24</v>
      </c>
      <c r="W7" s="17" t="s">
        <v>26</v>
      </c>
      <c r="X7" s="17" t="s">
        <v>39</v>
      </c>
      <c r="Y7" s="17" t="s">
        <v>40</v>
      </c>
      <c r="Z7" s="17" t="s">
        <v>46</v>
      </c>
      <c r="AA7" s="17" t="s">
        <v>47</v>
      </c>
    </row>
    <row r="8" spans="1:27" x14ac:dyDescent="0.25">
      <c r="A8" s="6">
        <v>45482</v>
      </c>
      <c r="B8">
        <v>4.91</v>
      </c>
      <c r="H8" s="14">
        <v>1</v>
      </c>
      <c r="I8" s="18">
        <v>45548</v>
      </c>
      <c r="J8" s="18">
        <v>45568</v>
      </c>
      <c r="K8" s="14">
        <v>6.67</v>
      </c>
      <c r="L8" s="14">
        <v>7.75</v>
      </c>
      <c r="M8" s="14">
        <v>276</v>
      </c>
      <c r="N8" s="14">
        <v>1840.92</v>
      </c>
      <c r="O8" s="14">
        <v>2139</v>
      </c>
      <c r="P8" s="14">
        <f t="shared" ref="P8:P17" si="0">O8-N8</f>
        <v>298.07999999999993</v>
      </c>
      <c r="Q8" s="14">
        <f t="shared" ref="Q8:Q17" si="1">(P8/N8)*100</f>
        <v>16.191904047976006</v>
      </c>
      <c r="U8" s="14">
        <v>1</v>
      </c>
      <c r="V8" s="14" t="s">
        <v>48</v>
      </c>
      <c r="W8" s="14" t="s">
        <v>49</v>
      </c>
      <c r="X8" s="14">
        <v>1840.92</v>
      </c>
      <c r="Y8" s="14">
        <v>2139</v>
      </c>
      <c r="Z8" s="14">
        <v>16.190000000000001</v>
      </c>
      <c r="AA8" s="14">
        <v>1161.9000000000001</v>
      </c>
    </row>
    <row r="9" spans="1:27" x14ac:dyDescent="0.25">
      <c r="A9" s="6">
        <v>45483</v>
      </c>
      <c r="B9">
        <v>4.91</v>
      </c>
      <c r="H9" s="14">
        <v>2</v>
      </c>
      <c r="I9" s="18">
        <v>45488</v>
      </c>
      <c r="J9" s="18">
        <v>45497</v>
      </c>
      <c r="K9" s="14">
        <v>4.95</v>
      </c>
      <c r="L9" s="14">
        <v>5.9</v>
      </c>
      <c r="M9" s="14">
        <v>214</v>
      </c>
      <c r="N9" s="14">
        <v>1059.3</v>
      </c>
      <c r="O9" s="14">
        <v>1262.5999999999999</v>
      </c>
      <c r="P9" s="14">
        <f t="shared" si="0"/>
        <v>203.29999999999995</v>
      </c>
      <c r="Q9" s="14">
        <f t="shared" si="1"/>
        <v>19.191919191919187</v>
      </c>
      <c r="U9" s="14">
        <v>2</v>
      </c>
      <c r="V9" s="14" t="s">
        <v>50</v>
      </c>
      <c r="W9" s="14" t="s">
        <v>51</v>
      </c>
      <c r="X9" s="14">
        <v>1059.3</v>
      </c>
      <c r="Y9" s="14">
        <v>1262.5999999999999</v>
      </c>
      <c r="Z9" s="14">
        <v>19.190000000000001</v>
      </c>
      <c r="AA9" s="14">
        <v>1384.87</v>
      </c>
    </row>
    <row r="10" spans="1:27" x14ac:dyDescent="0.25">
      <c r="A10" s="6">
        <v>45484</v>
      </c>
      <c r="B10">
        <v>5</v>
      </c>
      <c r="H10" s="14">
        <v>3</v>
      </c>
      <c r="I10" s="18">
        <v>45525</v>
      </c>
      <c r="J10" s="18">
        <v>45526</v>
      </c>
      <c r="K10" s="14">
        <v>6.34</v>
      </c>
      <c r="L10" s="14">
        <v>7.05</v>
      </c>
      <c r="M10" s="14">
        <v>249</v>
      </c>
      <c r="N10" s="14">
        <v>1578.66</v>
      </c>
      <c r="O10" s="14">
        <v>1755.45</v>
      </c>
      <c r="P10" s="14">
        <f t="shared" si="0"/>
        <v>176.78999999999996</v>
      </c>
      <c r="Q10" s="14">
        <f t="shared" si="1"/>
        <v>11.198738170346999</v>
      </c>
      <c r="U10" s="14">
        <v>3</v>
      </c>
      <c r="V10" s="14" t="s">
        <v>52</v>
      </c>
      <c r="W10" s="14" t="s">
        <v>53</v>
      </c>
      <c r="X10" s="14">
        <v>1578.66</v>
      </c>
      <c r="Y10" s="14">
        <v>1755.45</v>
      </c>
      <c r="Z10" s="14">
        <v>11.2</v>
      </c>
      <c r="AA10" s="14">
        <v>1539.97</v>
      </c>
    </row>
    <row r="11" spans="1:27" x14ac:dyDescent="0.25">
      <c r="A11" s="6">
        <v>45485</v>
      </c>
      <c r="B11">
        <v>5.08</v>
      </c>
      <c r="H11" s="14">
        <v>4</v>
      </c>
      <c r="I11" s="18">
        <v>45628</v>
      </c>
      <c r="J11" s="18">
        <v>45631</v>
      </c>
      <c r="K11" s="14">
        <v>7.66</v>
      </c>
      <c r="L11" s="14">
        <v>8.14</v>
      </c>
      <c r="M11" s="14">
        <v>364</v>
      </c>
      <c r="N11" s="14">
        <v>2788.24</v>
      </c>
      <c r="O11" s="14">
        <v>2962.96</v>
      </c>
      <c r="P11" s="14">
        <f t="shared" si="0"/>
        <v>174.72000000000025</v>
      </c>
      <c r="Q11" s="14">
        <f t="shared" si="1"/>
        <v>6.2663185378590169</v>
      </c>
      <c r="U11" s="14">
        <v>4</v>
      </c>
      <c r="V11" s="14" t="s">
        <v>54</v>
      </c>
      <c r="W11" s="14" t="s">
        <v>55</v>
      </c>
      <c r="X11" s="14">
        <v>2784.24</v>
      </c>
      <c r="Y11" s="14">
        <v>2962.96</v>
      </c>
      <c r="Z11" s="14">
        <v>6.27</v>
      </c>
      <c r="AA11" s="14">
        <v>1636.53</v>
      </c>
    </row>
    <row r="12" spans="1:27" x14ac:dyDescent="0.25">
      <c r="A12" s="6">
        <v>45488</v>
      </c>
      <c r="B12">
        <v>4.95</v>
      </c>
      <c r="C12">
        <v>4.95</v>
      </c>
      <c r="H12" s="14">
        <v>5</v>
      </c>
      <c r="I12" s="18">
        <v>45645</v>
      </c>
      <c r="J12" s="18">
        <v>45653</v>
      </c>
      <c r="K12" s="14">
        <v>7.94</v>
      </c>
      <c r="L12" s="14">
        <v>8.39</v>
      </c>
      <c r="M12" s="14">
        <v>388</v>
      </c>
      <c r="N12" s="14">
        <v>3080.72</v>
      </c>
      <c r="O12" s="14">
        <v>3255.32</v>
      </c>
      <c r="P12" s="14">
        <f t="shared" si="0"/>
        <v>174.60000000000036</v>
      </c>
      <c r="Q12" s="14">
        <f t="shared" si="1"/>
        <v>5.6675062972292318</v>
      </c>
      <c r="U12" s="14">
        <v>5</v>
      </c>
      <c r="V12" s="14" t="s">
        <v>56</v>
      </c>
      <c r="W12" s="14" t="s">
        <v>57</v>
      </c>
      <c r="X12" s="14">
        <v>3080.72</v>
      </c>
      <c r="Y12" s="14">
        <v>3255.32</v>
      </c>
      <c r="Z12" s="14">
        <v>5.67</v>
      </c>
      <c r="AA12" s="14">
        <v>1729.32</v>
      </c>
    </row>
    <row r="13" spans="1:27" x14ac:dyDescent="0.25">
      <c r="A13" s="6">
        <v>45489</v>
      </c>
      <c r="B13">
        <v>5.19</v>
      </c>
      <c r="H13" s="14">
        <v>1</v>
      </c>
      <c r="I13" s="18">
        <v>45782</v>
      </c>
      <c r="J13" s="18">
        <v>45790</v>
      </c>
      <c r="K13" s="14">
        <v>7.67</v>
      </c>
      <c r="L13" s="14">
        <v>8.64</v>
      </c>
      <c r="M13" s="14">
        <v>269</v>
      </c>
      <c r="N13" s="14">
        <v>2063.23</v>
      </c>
      <c r="O13" s="14">
        <v>2324.16</v>
      </c>
      <c r="P13" s="14">
        <f t="shared" si="0"/>
        <v>260.92999999999984</v>
      </c>
      <c r="Q13" s="14">
        <f t="shared" si="1"/>
        <v>12.646675358539758</v>
      </c>
      <c r="U13" s="14">
        <v>6</v>
      </c>
      <c r="V13" s="14" t="s">
        <v>58</v>
      </c>
      <c r="W13" s="14" t="s">
        <v>59</v>
      </c>
      <c r="X13" s="14">
        <v>2236.7399999999998</v>
      </c>
      <c r="Y13" s="14">
        <v>2361.23</v>
      </c>
      <c r="Z13" s="14">
        <v>5.56</v>
      </c>
      <c r="AA13" s="14">
        <v>1825.47</v>
      </c>
    </row>
    <row r="14" spans="1:27" x14ac:dyDescent="0.25">
      <c r="A14" s="6">
        <v>45490</v>
      </c>
      <c r="B14">
        <v>5.38</v>
      </c>
      <c r="H14" s="14">
        <v>2</v>
      </c>
      <c r="I14" s="18">
        <v>45832</v>
      </c>
      <c r="J14" s="18">
        <v>45838</v>
      </c>
      <c r="K14" s="14">
        <v>7.27</v>
      </c>
      <c r="L14" s="14">
        <v>7.78</v>
      </c>
      <c r="M14" s="14">
        <v>377</v>
      </c>
      <c r="N14" s="14">
        <v>2740.79</v>
      </c>
      <c r="O14" s="14">
        <v>2933.06</v>
      </c>
      <c r="P14" s="14">
        <f t="shared" si="0"/>
        <v>192.26999999999998</v>
      </c>
      <c r="Q14" s="14">
        <f t="shared" si="1"/>
        <v>7.0151306740027506</v>
      </c>
      <c r="U14" s="14">
        <v>7</v>
      </c>
      <c r="V14" s="14" t="s">
        <v>60</v>
      </c>
      <c r="W14" s="14" t="s">
        <v>61</v>
      </c>
      <c r="X14" s="14">
        <v>2740.79</v>
      </c>
      <c r="Y14" s="14">
        <v>2933.06</v>
      </c>
      <c r="Z14" s="14">
        <v>7.02</v>
      </c>
      <c r="AA14" s="14">
        <v>1953.62</v>
      </c>
    </row>
    <row r="15" spans="1:27" x14ac:dyDescent="0.25">
      <c r="A15" s="6">
        <v>45491</v>
      </c>
      <c r="B15">
        <v>5.46</v>
      </c>
      <c r="H15" s="14">
        <v>3</v>
      </c>
      <c r="I15" s="18">
        <v>45701</v>
      </c>
      <c r="J15" s="18">
        <v>45708</v>
      </c>
      <c r="K15" s="14">
        <v>8.16</v>
      </c>
      <c r="L15" s="14">
        <v>9.3000000000000007</v>
      </c>
      <c r="M15" s="14">
        <v>148</v>
      </c>
      <c r="N15" s="14">
        <v>1207.68</v>
      </c>
      <c r="O15" s="14">
        <v>1376.4</v>
      </c>
      <c r="P15" s="14">
        <f t="shared" si="0"/>
        <v>168.72000000000003</v>
      </c>
      <c r="Q15" s="14">
        <f t="shared" si="1"/>
        <v>13.970588235294118</v>
      </c>
      <c r="U15" s="14">
        <v>8</v>
      </c>
      <c r="V15" s="14" t="s">
        <v>62</v>
      </c>
      <c r="W15" s="14" t="s">
        <v>63</v>
      </c>
      <c r="X15" s="14">
        <v>1381.12</v>
      </c>
      <c r="Y15" s="14">
        <v>1555.1</v>
      </c>
      <c r="Z15" s="14">
        <v>12.6</v>
      </c>
      <c r="AA15" s="14">
        <v>2199.7800000000002</v>
      </c>
    </row>
    <row r="16" spans="1:27" x14ac:dyDescent="0.25">
      <c r="A16" s="6">
        <v>45492</v>
      </c>
      <c r="B16">
        <v>5.75</v>
      </c>
      <c r="H16" s="14">
        <v>4</v>
      </c>
      <c r="I16" s="18">
        <v>45804</v>
      </c>
      <c r="J16" s="18">
        <v>45807</v>
      </c>
      <c r="K16" s="14">
        <v>7.28</v>
      </c>
      <c r="L16" s="14">
        <v>7.77</v>
      </c>
      <c r="M16" s="14">
        <v>324</v>
      </c>
      <c r="N16" s="14">
        <v>2358.7199999999998</v>
      </c>
      <c r="O16" s="14">
        <v>2517.48</v>
      </c>
      <c r="P16" s="14">
        <f t="shared" si="0"/>
        <v>158.76000000000022</v>
      </c>
      <c r="Q16" s="14">
        <f t="shared" si="1"/>
        <v>6.7307692307692406</v>
      </c>
      <c r="U16" s="14">
        <v>9</v>
      </c>
      <c r="V16" s="14" t="s">
        <v>64</v>
      </c>
      <c r="W16" s="14" t="s">
        <v>65</v>
      </c>
      <c r="X16" s="14">
        <v>2358.7199999999998</v>
      </c>
      <c r="Y16" s="14">
        <v>2517.48</v>
      </c>
      <c r="Z16" s="14">
        <v>6.73</v>
      </c>
      <c r="AA16" s="14">
        <v>2347.8200000000002</v>
      </c>
    </row>
    <row r="17" spans="1:27" x14ac:dyDescent="0.25">
      <c r="A17" s="6">
        <v>45495</v>
      </c>
      <c r="B17">
        <v>5.77</v>
      </c>
      <c r="H17" s="14">
        <v>5</v>
      </c>
      <c r="I17" s="18">
        <v>45756</v>
      </c>
      <c r="J17" s="18">
        <v>45757</v>
      </c>
      <c r="K17" s="14">
        <v>6.86</v>
      </c>
      <c r="L17" s="14">
        <v>7.45</v>
      </c>
      <c r="M17" s="14">
        <v>242</v>
      </c>
      <c r="N17" s="14">
        <v>1660.12</v>
      </c>
      <c r="O17" s="14">
        <v>1802.9</v>
      </c>
      <c r="P17" s="14">
        <f t="shared" si="0"/>
        <v>142.7800000000002</v>
      </c>
      <c r="Q17" s="14">
        <f t="shared" si="1"/>
        <v>8.6005830903790219</v>
      </c>
      <c r="U17" s="14">
        <v>10</v>
      </c>
      <c r="V17" s="14" t="s">
        <v>66</v>
      </c>
      <c r="W17" s="14" t="s">
        <v>67</v>
      </c>
      <c r="X17" s="14">
        <v>1660.12</v>
      </c>
      <c r="Y17" s="14">
        <v>1802.9</v>
      </c>
      <c r="Z17" s="14">
        <v>8.6</v>
      </c>
      <c r="AA17" s="14">
        <v>2549.73</v>
      </c>
    </row>
    <row r="18" spans="1:27" x14ac:dyDescent="0.25">
      <c r="A18" s="6">
        <v>45496</v>
      </c>
      <c r="B18">
        <v>5.88</v>
      </c>
    </row>
    <row r="19" spans="1:27" x14ac:dyDescent="0.25">
      <c r="A19" s="6">
        <v>45497</v>
      </c>
      <c r="B19">
        <v>5.9</v>
      </c>
      <c r="D19">
        <v>5.9</v>
      </c>
    </row>
    <row r="20" spans="1:27" x14ac:dyDescent="0.25">
      <c r="A20" s="6">
        <v>45498</v>
      </c>
      <c r="B20">
        <v>5.75</v>
      </c>
    </row>
    <row r="21" spans="1:27" x14ac:dyDescent="0.25">
      <c r="A21" s="6">
        <v>45499</v>
      </c>
      <c r="B21">
        <v>5.65</v>
      </c>
    </row>
    <row r="22" spans="1:27" x14ac:dyDescent="0.25">
      <c r="A22" s="6">
        <v>45502</v>
      </c>
      <c r="B22">
        <v>5.8</v>
      </c>
    </row>
    <row r="23" spans="1:27" x14ac:dyDescent="0.25">
      <c r="A23" s="6">
        <v>45503</v>
      </c>
      <c r="B23">
        <v>5.75</v>
      </c>
    </row>
    <row r="24" spans="1:27" x14ac:dyDescent="0.25">
      <c r="A24" s="6">
        <v>45504</v>
      </c>
      <c r="B24">
        <v>5.82</v>
      </c>
    </row>
    <row r="25" spans="1:27" x14ac:dyDescent="0.25">
      <c r="A25" s="6">
        <v>45505</v>
      </c>
      <c r="B25">
        <v>6.03</v>
      </c>
    </row>
    <row r="26" spans="1:27" x14ac:dyDescent="0.25">
      <c r="A26" s="6">
        <v>45506</v>
      </c>
      <c r="B26">
        <v>5.99</v>
      </c>
    </row>
    <row r="27" spans="1:27" x14ac:dyDescent="0.25">
      <c r="A27" s="6">
        <v>45509</v>
      </c>
      <c r="B27">
        <v>5.65</v>
      </c>
    </row>
    <row r="28" spans="1:27" x14ac:dyDescent="0.25">
      <c r="A28" s="6">
        <v>45510</v>
      </c>
      <c r="B28">
        <v>5.85</v>
      </c>
    </row>
    <row r="29" spans="1:27" x14ac:dyDescent="0.25">
      <c r="A29" s="6">
        <v>45511</v>
      </c>
      <c r="B29">
        <v>5.94</v>
      </c>
    </row>
    <row r="30" spans="1:27" x14ac:dyDescent="0.25">
      <c r="A30" s="6">
        <v>45512</v>
      </c>
      <c r="B30">
        <v>5.82</v>
      </c>
    </row>
    <row r="31" spans="1:27" x14ac:dyDescent="0.25">
      <c r="A31" s="6">
        <v>45513</v>
      </c>
      <c r="B31">
        <v>5.89</v>
      </c>
    </row>
    <row r="32" spans="1:27" x14ac:dyDescent="0.25">
      <c r="A32" s="6">
        <v>45516</v>
      </c>
      <c r="B32">
        <v>6.01</v>
      </c>
    </row>
    <row r="33" spans="1:4" x14ac:dyDescent="0.25">
      <c r="A33" s="6">
        <v>45517</v>
      </c>
      <c r="B33">
        <v>6.15</v>
      </c>
    </row>
    <row r="34" spans="1:4" x14ac:dyDescent="0.25">
      <c r="A34" s="6">
        <v>45518</v>
      </c>
      <c r="B34">
        <v>6.09</v>
      </c>
    </row>
    <row r="35" spans="1:4" x14ac:dyDescent="0.25">
      <c r="A35" s="6">
        <v>45519</v>
      </c>
      <c r="B35">
        <v>6.1</v>
      </c>
    </row>
    <row r="36" spans="1:4" x14ac:dyDescent="0.25">
      <c r="A36" s="6">
        <v>45520</v>
      </c>
      <c r="B36">
        <v>6.1</v>
      </c>
    </row>
    <row r="37" spans="1:4" x14ac:dyDescent="0.25">
      <c r="A37" s="6">
        <v>45523</v>
      </c>
      <c r="B37">
        <v>6.07</v>
      </c>
    </row>
    <row r="38" spans="1:4" x14ac:dyDescent="0.25">
      <c r="A38" s="6">
        <v>45524</v>
      </c>
      <c r="B38">
        <v>6.42</v>
      </c>
    </row>
    <row r="39" spans="1:4" x14ac:dyDescent="0.25">
      <c r="A39" s="6">
        <v>45525</v>
      </c>
      <c r="B39">
        <v>6.34</v>
      </c>
      <c r="C39">
        <v>6.34</v>
      </c>
    </row>
    <row r="40" spans="1:4" x14ac:dyDescent="0.25">
      <c r="A40" s="6">
        <v>45526</v>
      </c>
      <c r="B40">
        <v>7.05</v>
      </c>
      <c r="D40">
        <v>7.05</v>
      </c>
    </row>
    <row r="41" spans="1:4" x14ac:dyDescent="0.25">
      <c r="A41" s="6">
        <v>45527</v>
      </c>
      <c r="B41">
        <v>6.88</v>
      </c>
    </row>
    <row r="42" spans="1:4" x14ac:dyDescent="0.25">
      <c r="A42" s="6">
        <v>45530</v>
      </c>
      <c r="B42">
        <v>7</v>
      </c>
    </row>
    <row r="43" spans="1:4" x14ac:dyDescent="0.25">
      <c r="A43" s="6">
        <v>45531</v>
      </c>
      <c r="B43">
        <v>7</v>
      </c>
    </row>
    <row r="44" spans="1:4" x14ac:dyDescent="0.25">
      <c r="A44" s="6">
        <v>45532</v>
      </c>
      <c r="B44">
        <v>6.99</v>
      </c>
    </row>
    <row r="45" spans="1:4" x14ac:dyDescent="0.25">
      <c r="A45" s="6">
        <v>45533</v>
      </c>
      <c r="B45">
        <v>6.88</v>
      </c>
    </row>
    <row r="46" spans="1:4" x14ac:dyDescent="0.25">
      <c r="A46" s="6">
        <v>45534</v>
      </c>
      <c r="B46">
        <v>6.94</v>
      </c>
    </row>
    <row r="47" spans="1:4" x14ac:dyDescent="0.25">
      <c r="A47" s="6">
        <v>45537</v>
      </c>
      <c r="B47">
        <v>7</v>
      </c>
    </row>
    <row r="48" spans="1:4" x14ac:dyDescent="0.25">
      <c r="A48" s="6">
        <v>45538</v>
      </c>
      <c r="B48">
        <v>6.98</v>
      </c>
    </row>
    <row r="49" spans="1:3" x14ac:dyDescent="0.25">
      <c r="A49" s="6">
        <v>45539</v>
      </c>
      <c r="B49">
        <v>6.82</v>
      </c>
    </row>
    <row r="50" spans="1:3" x14ac:dyDescent="0.25">
      <c r="A50" s="6">
        <v>45540</v>
      </c>
      <c r="B50">
        <v>6.78</v>
      </c>
    </row>
    <row r="51" spans="1:3" x14ac:dyDescent="0.25">
      <c r="A51" s="6">
        <v>45541</v>
      </c>
      <c r="B51">
        <v>6.85</v>
      </c>
    </row>
    <row r="52" spans="1:3" x14ac:dyDescent="0.25">
      <c r="A52" s="6">
        <v>45544</v>
      </c>
      <c r="B52">
        <v>6.72</v>
      </c>
    </row>
    <row r="53" spans="1:3" x14ac:dyDescent="0.25">
      <c r="A53" s="6">
        <v>45545</v>
      </c>
      <c r="B53">
        <v>6.65</v>
      </c>
    </row>
    <row r="54" spans="1:3" x14ac:dyDescent="0.25">
      <c r="A54" s="6">
        <v>45546</v>
      </c>
      <c r="B54">
        <v>6.66</v>
      </c>
    </row>
    <row r="55" spans="1:3" x14ac:dyDescent="0.25">
      <c r="A55" s="6">
        <v>45547</v>
      </c>
      <c r="B55">
        <v>6.7</v>
      </c>
    </row>
    <row r="56" spans="1:3" x14ac:dyDescent="0.25">
      <c r="A56" s="6">
        <v>45548</v>
      </c>
      <c r="B56">
        <v>6.67</v>
      </c>
      <c r="C56">
        <v>6.67</v>
      </c>
    </row>
    <row r="57" spans="1:3" x14ac:dyDescent="0.25">
      <c r="A57" s="6">
        <v>45551</v>
      </c>
      <c r="B57">
        <v>6.7</v>
      </c>
    </row>
    <row r="58" spans="1:3" x14ac:dyDescent="0.25">
      <c r="A58" s="6">
        <v>45552</v>
      </c>
      <c r="B58">
        <v>6.7</v>
      </c>
    </row>
    <row r="59" spans="1:3" x14ac:dyDescent="0.25">
      <c r="A59" s="6">
        <v>45553</v>
      </c>
      <c r="B59">
        <v>6.75</v>
      </c>
    </row>
    <row r="60" spans="1:3" x14ac:dyDescent="0.25">
      <c r="A60" s="6">
        <v>45554</v>
      </c>
      <c r="B60">
        <v>6.76</v>
      </c>
    </row>
    <row r="61" spans="1:3" x14ac:dyDescent="0.25">
      <c r="A61" s="6">
        <v>45555</v>
      </c>
      <c r="B61">
        <v>6.91</v>
      </c>
    </row>
    <row r="62" spans="1:3" x14ac:dyDescent="0.25">
      <c r="A62" s="6">
        <v>45558</v>
      </c>
      <c r="B62">
        <v>7.04</v>
      </c>
    </row>
    <row r="63" spans="1:3" x14ac:dyDescent="0.25">
      <c r="A63" s="6">
        <v>45559</v>
      </c>
      <c r="B63">
        <v>7.08</v>
      </c>
    </row>
    <row r="64" spans="1:3" x14ac:dyDescent="0.25">
      <c r="A64" s="6">
        <v>45560</v>
      </c>
      <c r="B64">
        <v>7.09</v>
      </c>
    </row>
    <row r="65" spans="1:4" x14ac:dyDescent="0.25">
      <c r="A65" s="6">
        <v>45561</v>
      </c>
      <c r="B65">
        <v>7.3</v>
      </c>
    </row>
    <row r="66" spans="1:4" x14ac:dyDescent="0.25">
      <c r="A66" s="6">
        <v>45562</v>
      </c>
      <c r="B66">
        <v>7.31</v>
      </c>
    </row>
    <row r="67" spans="1:4" x14ac:dyDescent="0.25">
      <c r="A67" s="6">
        <v>45565</v>
      </c>
      <c r="B67">
        <v>7.5</v>
      </c>
    </row>
    <row r="68" spans="1:4" x14ac:dyDescent="0.25">
      <c r="A68" s="6">
        <v>45566</v>
      </c>
      <c r="B68">
        <v>7.64</v>
      </c>
    </row>
    <row r="69" spans="1:4" x14ac:dyDescent="0.25">
      <c r="A69" s="6">
        <v>45567</v>
      </c>
      <c r="B69">
        <v>7.7</v>
      </c>
    </row>
    <row r="70" spans="1:4" x14ac:dyDescent="0.25">
      <c r="A70" s="6">
        <v>45568</v>
      </c>
      <c r="B70">
        <v>7.75</v>
      </c>
      <c r="D70">
        <v>7.75</v>
      </c>
    </row>
    <row r="71" spans="1:4" x14ac:dyDescent="0.25">
      <c r="A71" s="6">
        <v>45569</v>
      </c>
      <c r="B71">
        <v>7.6</v>
      </c>
    </row>
    <row r="72" spans="1:4" x14ac:dyDescent="0.25">
      <c r="A72" s="6">
        <v>45572</v>
      </c>
      <c r="B72">
        <v>7.7</v>
      </c>
    </row>
    <row r="73" spans="1:4" x14ac:dyDescent="0.25">
      <c r="A73" s="6">
        <v>45573</v>
      </c>
      <c r="B73">
        <v>7.65</v>
      </c>
    </row>
    <row r="74" spans="1:4" x14ac:dyDescent="0.25">
      <c r="A74" s="6">
        <v>45574</v>
      </c>
      <c r="B74">
        <v>7.75</v>
      </c>
    </row>
    <row r="75" spans="1:4" x14ac:dyDescent="0.25">
      <c r="A75" s="6">
        <v>45575</v>
      </c>
      <c r="B75">
        <v>7.7</v>
      </c>
    </row>
    <row r="76" spans="1:4" x14ac:dyDescent="0.25">
      <c r="A76" s="6">
        <v>45576</v>
      </c>
      <c r="B76">
        <v>7.71</v>
      </c>
    </row>
    <row r="77" spans="1:4" x14ac:dyDescent="0.25">
      <c r="A77" s="6">
        <v>45579</v>
      </c>
      <c r="B77">
        <v>7.62</v>
      </c>
    </row>
    <row r="78" spans="1:4" x14ac:dyDescent="0.25">
      <c r="A78" s="6">
        <v>45580</v>
      </c>
      <c r="B78">
        <v>8.0299999999999994</v>
      </c>
    </row>
    <row r="79" spans="1:4" x14ac:dyDescent="0.25">
      <c r="A79" s="6">
        <v>45581</v>
      </c>
      <c r="B79">
        <v>8.1199999999999992</v>
      </c>
    </row>
    <row r="80" spans="1:4" x14ac:dyDescent="0.25">
      <c r="A80" s="6">
        <v>45582</v>
      </c>
      <c r="B80">
        <v>8.09</v>
      </c>
    </row>
    <row r="81" spans="1:2" x14ac:dyDescent="0.25">
      <c r="A81" s="6">
        <v>45583</v>
      </c>
      <c r="B81">
        <v>8.16</v>
      </c>
    </row>
    <row r="82" spans="1:2" x14ac:dyDescent="0.25">
      <c r="A82" s="6">
        <v>45586</v>
      </c>
      <c r="B82">
        <v>8.25</v>
      </c>
    </row>
    <row r="83" spans="1:2" x14ac:dyDescent="0.25">
      <c r="A83" s="6">
        <v>45587</v>
      </c>
      <c r="B83">
        <v>8.25</v>
      </c>
    </row>
    <row r="84" spans="1:2" x14ac:dyDescent="0.25">
      <c r="A84" s="6">
        <v>45588</v>
      </c>
      <c r="B84">
        <v>8.2100000000000009</v>
      </c>
    </row>
    <row r="85" spans="1:2" x14ac:dyDescent="0.25">
      <c r="A85" s="6">
        <v>45589</v>
      </c>
      <c r="B85">
        <v>7.96</v>
      </c>
    </row>
    <row r="86" spans="1:2" x14ac:dyDescent="0.25">
      <c r="A86" s="6">
        <v>45590</v>
      </c>
      <c r="B86">
        <v>7.98</v>
      </c>
    </row>
    <row r="87" spans="1:2" x14ac:dyDescent="0.25">
      <c r="A87" s="6">
        <v>45593</v>
      </c>
      <c r="B87">
        <v>8.19</v>
      </c>
    </row>
    <row r="88" spans="1:2" x14ac:dyDescent="0.25">
      <c r="A88" s="6">
        <v>45594</v>
      </c>
      <c r="B88">
        <v>8.33</v>
      </c>
    </row>
    <row r="89" spans="1:2" x14ac:dyDescent="0.25">
      <c r="A89" s="6">
        <v>45595</v>
      </c>
      <c r="B89">
        <v>7.99</v>
      </c>
    </row>
    <row r="90" spans="1:2" x14ac:dyDescent="0.25">
      <c r="A90" s="6">
        <v>45596</v>
      </c>
      <c r="B90">
        <v>7.88</v>
      </c>
    </row>
    <row r="91" spans="1:2" x14ac:dyDescent="0.25">
      <c r="A91" s="6">
        <v>45597</v>
      </c>
      <c r="B91">
        <v>7.8</v>
      </c>
    </row>
    <row r="92" spans="1:2" x14ac:dyDescent="0.25">
      <c r="A92" s="6">
        <v>45600</v>
      </c>
      <c r="B92">
        <v>7.65</v>
      </c>
    </row>
    <row r="93" spans="1:2" x14ac:dyDescent="0.25">
      <c r="A93" s="6">
        <v>45601</v>
      </c>
      <c r="B93">
        <v>7.64</v>
      </c>
    </row>
    <row r="94" spans="1:2" x14ac:dyDescent="0.25">
      <c r="A94" s="6">
        <v>45602</v>
      </c>
      <c r="B94">
        <v>7.68</v>
      </c>
    </row>
    <row r="95" spans="1:2" x14ac:dyDescent="0.25">
      <c r="A95" s="6">
        <v>45603</v>
      </c>
      <c r="B95">
        <v>7.61</v>
      </c>
    </row>
    <row r="96" spans="1:2" x14ac:dyDescent="0.25">
      <c r="A96" s="6">
        <v>45604</v>
      </c>
      <c r="B96">
        <v>7.73</v>
      </c>
    </row>
    <row r="97" spans="1:3" x14ac:dyDescent="0.25">
      <c r="A97" s="6">
        <v>45607</v>
      </c>
      <c r="B97">
        <v>7.73</v>
      </c>
    </row>
    <row r="98" spans="1:3" x14ac:dyDescent="0.25">
      <c r="A98" s="6">
        <v>45608</v>
      </c>
      <c r="B98">
        <v>7.83</v>
      </c>
    </row>
    <row r="99" spans="1:3" x14ac:dyDescent="0.25">
      <c r="A99" s="6">
        <v>45609</v>
      </c>
      <c r="B99">
        <v>7.78</v>
      </c>
    </row>
    <row r="100" spans="1:3" x14ac:dyDescent="0.25">
      <c r="A100" s="6">
        <v>45610</v>
      </c>
      <c r="B100">
        <v>7.75</v>
      </c>
    </row>
    <row r="101" spans="1:3" x14ac:dyDescent="0.25">
      <c r="A101" s="6">
        <v>45611</v>
      </c>
      <c r="B101">
        <v>7.92</v>
      </c>
    </row>
    <row r="102" spans="1:3" x14ac:dyDescent="0.25">
      <c r="A102" s="6">
        <v>45614</v>
      </c>
      <c r="B102">
        <v>7.91</v>
      </c>
    </row>
    <row r="103" spans="1:3" x14ac:dyDescent="0.25">
      <c r="A103" s="6">
        <v>45615</v>
      </c>
      <c r="B103">
        <v>8.01</v>
      </c>
    </row>
    <row r="104" spans="1:3" x14ac:dyDescent="0.25">
      <c r="A104" s="6">
        <v>45616</v>
      </c>
      <c r="B104">
        <v>7.77</v>
      </c>
    </row>
    <row r="105" spans="1:3" x14ac:dyDescent="0.25">
      <c r="A105" s="6">
        <v>45617</v>
      </c>
      <c r="B105">
        <v>7.46</v>
      </c>
    </row>
    <row r="106" spans="1:3" x14ac:dyDescent="0.25">
      <c r="A106" s="6">
        <v>45618</v>
      </c>
      <c r="B106">
        <v>7.44</v>
      </c>
    </row>
    <row r="107" spans="1:3" x14ac:dyDescent="0.25">
      <c r="A107" s="6">
        <v>45621</v>
      </c>
      <c r="B107">
        <v>7.46</v>
      </c>
    </row>
    <row r="108" spans="1:3" x14ac:dyDescent="0.25">
      <c r="A108" s="6">
        <v>45622</v>
      </c>
      <c r="B108">
        <v>7.66</v>
      </c>
    </row>
    <row r="109" spans="1:3" x14ac:dyDescent="0.25">
      <c r="A109" s="6">
        <v>45623</v>
      </c>
      <c r="B109">
        <v>7.66</v>
      </c>
    </row>
    <row r="110" spans="1:3" x14ac:dyDescent="0.25">
      <c r="A110" s="6">
        <v>45624</v>
      </c>
      <c r="B110">
        <v>7.55</v>
      </c>
    </row>
    <row r="111" spans="1:3" x14ac:dyDescent="0.25">
      <c r="A111" s="6">
        <v>45625</v>
      </c>
      <c r="B111">
        <v>7.8</v>
      </c>
    </row>
    <row r="112" spans="1:3" x14ac:dyDescent="0.25">
      <c r="A112" s="6">
        <v>45628</v>
      </c>
      <c r="B112">
        <v>7.66</v>
      </c>
      <c r="C112">
        <v>7.66</v>
      </c>
    </row>
    <row r="113" spans="1:4" x14ac:dyDescent="0.25">
      <c r="A113" s="6">
        <v>45629</v>
      </c>
      <c r="B113">
        <v>7.9</v>
      </c>
    </row>
    <row r="114" spans="1:4" x14ac:dyDescent="0.25">
      <c r="A114" s="6">
        <v>45630</v>
      </c>
      <c r="B114">
        <v>8.08</v>
      </c>
    </row>
    <row r="115" spans="1:4" x14ac:dyDescent="0.25">
      <c r="A115" s="6">
        <v>45631</v>
      </c>
      <c r="B115">
        <v>8.14</v>
      </c>
      <c r="D115">
        <v>8.14</v>
      </c>
    </row>
    <row r="116" spans="1:4" x14ac:dyDescent="0.25">
      <c r="A116" s="6">
        <v>45632</v>
      </c>
      <c r="B116">
        <v>8.06</v>
      </c>
    </row>
    <row r="117" spans="1:4" x14ac:dyDescent="0.25">
      <c r="A117" s="6">
        <v>45635</v>
      </c>
      <c r="B117">
        <v>8</v>
      </c>
    </row>
    <row r="118" spans="1:4" x14ac:dyDescent="0.25">
      <c r="A118" s="6">
        <v>45636</v>
      </c>
      <c r="B118">
        <v>7.82</v>
      </c>
    </row>
    <row r="119" spans="1:4" x14ac:dyDescent="0.25">
      <c r="A119" s="6">
        <v>45637</v>
      </c>
      <c r="B119">
        <v>7.74</v>
      </c>
    </row>
    <row r="120" spans="1:4" x14ac:dyDescent="0.25">
      <c r="A120" s="6">
        <v>45638</v>
      </c>
      <c r="B120">
        <v>7.79</v>
      </c>
    </row>
    <row r="121" spans="1:4" x14ac:dyDescent="0.25">
      <c r="A121" s="6">
        <v>45639</v>
      </c>
      <c r="B121">
        <v>7.73</v>
      </c>
    </row>
    <row r="122" spans="1:4" x14ac:dyDescent="0.25">
      <c r="A122" s="6">
        <v>45642</v>
      </c>
      <c r="B122">
        <v>7.78</v>
      </c>
    </row>
    <row r="123" spans="1:4" x14ac:dyDescent="0.25">
      <c r="A123" s="6">
        <v>45643</v>
      </c>
      <c r="B123">
        <v>8.02</v>
      </c>
    </row>
    <row r="124" spans="1:4" x14ac:dyDescent="0.25">
      <c r="A124" s="6">
        <v>45644</v>
      </c>
      <c r="B124">
        <v>8.0399999999999991</v>
      </c>
    </row>
    <row r="125" spans="1:4" x14ac:dyDescent="0.25">
      <c r="A125" s="6">
        <v>45645</v>
      </c>
      <c r="B125">
        <v>7.94</v>
      </c>
      <c r="C125">
        <v>7.94</v>
      </c>
    </row>
    <row r="126" spans="1:4" x14ac:dyDescent="0.25">
      <c r="A126" s="6">
        <v>45646</v>
      </c>
      <c r="B126">
        <v>7.97</v>
      </c>
    </row>
    <row r="127" spans="1:4" x14ac:dyDescent="0.25">
      <c r="A127" s="6">
        <v>45649</v>
      </c>
      <c r="B127">
        <v>8.02</v>
      </c>
    </row>
    <row r="128" spans="1:4" x14ac:dyDescent="0.25">
      <c r="A128" s="6">
        <v>45650</v>
      </c>
      <c r="B128">
        <v>8.14</v>
      </c>
    </row>
    <row r="129" spans="1:4" x14ac:dyDescent="0.25">
      <c r="A129" s="6">
        <v>45653</v>
      </c>
      <c r="B129">
        <v>8.39</v>
      </c>
      <c r="D129">
        <v>8.39</v>
      </c>
    </row>
    <row r="130" spans="1:4" x14ac:dyDescent="0.25">
      <c r="A130" s="6">
        <v>45656</v>
      </c>
      <c r="B130">
        <v>8.31</v>
      </c>
    </row>
    <row r="131" spans="1:4" x14ac:dyDescent="0.25">
      <c r="A131" s="6">
        <v>45657</v>
      </c>
      <c r="B131">
        <v>8.58</v>
      </c>
    </row>
    <row r="132" spans="1:4" x14ac:dyDescent="0.25">
      <c r="A132" s="6">
        <v>45659</v>
      </c>
      <c r="B132">
        <v>8.1</v>
      </c>
    </row>
    <row r="133" spans="1:4" x14ac:dyDescent="0.25">
      <c r="A133" s="6">
        <v>45660</v>
      </c>
      <c r="B133">
        <v>8.18</v>
      </c>
    </row>
    <row r="134" spans="1:4" x14ac:dyDescent="0.25">
      <c r="A134" s="6">
        <v>45663</v>
      </c>
      <c r="B134">
        <v>8.25</v>
      </c>
    </row>
    <row r="135" spans="1:4" x14ac:dyDescent="0.25">
      <c r="A135" s="6">
        <v>45664</v>
      </c>
      <c r="B135">
        <v>8.44</v>
      </c>
    </row>
    <row r="136" spans="1:4" x14ac:dyDescent="0.25">
      <c r="A136" s="6">
        <v>45665</v>
      </c>
      <c r="B136">
        <v>8.3800000000000008</v>
      </c>
    </row>
    <row r="137" spans="1:4" x14ac:dyDescent="0.25">
      <c r="A137" s="6">
        <v>45666</v>
      </c>
      <c r="B137">
        <v>8.43</v>
      </c>
    </row>
    <row r="138" spans="1:4" x14ac:dyDescent="0.25">
      <c r="A138" s="6">
        <v>45667</v>
      </c>
      <c r="B138">
        <v>8.4</v>
      </c>
    </row>
    <row r="139" spans="1:4" x14ac:dyDescent="0.25">
      <c r="A139" s="6">
        <v>45670</v>
      </c>
      <c r="B139">
        <v>8.11</v>
      </c>
    </row>
    <row r="140" spans="1:4" x14ac:dyDescent="0.25">
      <c r="A140" s="6">
        <v>45671</v>
      </c>
      <c r="B140">
        <v>8.0299999999999994</v>
      </c>
    </row>
    <row r="141" spans="1:4" x14ac:dyDescent="0.25">
      <c r="A141" s="6">
        <v>45672</v>
      </c>
      <c r="B141">
        <v>7.8</v>
      </c>
    </row>
    <row r="142" spans="1:4" x14ac:dyDescent="0.25">
      <c r="A142" s="6">
        <v>45673</v>
      </c>
      <c r="B142">
        <v>7.76</v>
      </c>
    </row>
    <row r="143" spans="1:4" x14ac:dyDescent="0.25">
      <c r="A143" s="6">
        <v>45674</v>
      </c>
      <c r="B143">
        <v>7.72</v>
      </c>
    </row>
    <row r="144" spans="1:4" x14ac:dyDescent="0.25">
      <c r="A144" s="6">
        <v>45677</v>
      </c>
      <c r="B144">
        <v>7.91</v>
      </c>
    </row>
    <row r="145" spans="1:2" x14ac:dyDescent="0.25">
      <c r="A145" s="6">
        <v>45678</v>
      </c>
      <c r="B145">
        <v>8.1</v>
      </c>
    </row>
    <row r="146" spans="1:2" x14ac:dyDescent="0.25">
      <c r="A146" s="6">
        <v>45679</v>
      </c>
      <c r="B146">
        <v>8.27</v>
      </c>
    </row>
    <row r="147" spans="1:2" x14ac:dyDescent="0.25">
      <c r="A147" s="6">
        <v>45680</v>
      </c>
      <c r="B147">
        <v>8.1</v>
      </c>
    </row>
    <row r="148" spans="1:2" x14ac:dyDescent="0.25">
      <c r="A148" s="6">
        <v>45681</v>
      </c>
      <c r="B148">
        <v>8.4</v>
      </c>
    </row>
    <row r="149" spans="1:2" x14ac:dyDescent="0.25">
      <c r="A149" s="6">
        <v>45685</v>
      </c>
      <c r="B149">
        <v>8.39</v>
      </c>
    </row>
    <row r="150" spans="1:2" x14ac:dyDescent="0.25">
      <c r="A150" s="6">
        <v>45686</v>
      </c>
      <c r="B150">
        <v>8.4499999999999993</v>
      </c>
    </row>
    <row r="151" spans="1:2" x14ac:dyDescent="0.25">
      <c r="A151" s="6">
        <v>45687</v>
      </c>
      <c r="B151">
        <v>8.4</v>
      </c>
    </row>
    <row r="152" spans="1:2" x14ac:dyDescent="0.25">
      <c r="A152" s="6">
        <v>45688</v>
      </c>
      <c r="B152">
        <v>8.52</v>
      </c>
    </row>
    <row r="153" spans="1:2" x14ac:dyDescent="0.25">
      <c r="A153" s="6">
        <v>45691</v>
      </c>
      <c r="B153">
        <v>8.17</v>
      </c>
    </row>
    <row r="154" spans="1:2" x14ac:dyDescent="0.25">
      <c r="A154" s="6">
        <v>45692</v>
      </c>
      <c r="B154">
        <v>8.11</v>
      </c>
    </row>
    <row r="155" spans="1:2" x14ac:dyDescent="0.25">
      <c r="A155" s="6">
        <v>45693</v>
      </c>
      <c r="B155">
        <v>8.09</v>
      </c>
    </row>
    <row r="156" spans="1:2" x14ac:dyDescent="0.25">
      <c r="A156" s="6">
        <v>45694</v>
      </c>
      <c r="B156">
        <v>8.3000000000000007</v>
      </c>
    </row>
    <row r="157" spans="1:2" x14ac:dyDescent="0.25">
      <c r="A157" s="6">
        <v>45695</v>
      </c>
      <c r="B157">
        <v>8.4700000000000006</v>
      </c>
    </row>
    <row r="158" spans="1:2" x14ac:dyDescent="0.25">
      <c r="A158" s="6">
        <v>45698</v>
      </c>
      <c r="B158">
        <v>8.19</v>
      </c>
    </row>
    <row r="159" spans="1:2" x14ac:dyDescent="0.25">
      <c r="A159" s="6">
        <v>45699</v>
      </c>
      <c r="B159">
        <v>8.19</v>
      </c>
    </row>
    <row r="160" spans="1:2" x14ac:dyDescent="0.25">
      <c r="A160" s="6">
        <v>45700</v>
      </c>
      <c r="B160">
        <v>8.16</v>
      </c>
    </row>
    <row r="161" spans="1:4" x14ac:dyDescent="0.25">
      <c r="A161" s="6">
        <v>45701</v>
      </c>
      <c r="B161">
        <v>8.16</v>
      </c>
      <c r="C161">
        <v>8.16</v>
      </c>
    </row>
    <row r="162" spans="1:4" x14ac:dyDescent="0.25">
      <c r="A162" s="6">
        <v>45702</v>
      </c>
      <c r="B162">
        <v>8.3000000000000007</v>
      </c>
    </row>
    <row r="163" spans="1:4" x14ac:dyDescent="0.25">
      <c r="A163" s="6">
        <v>45705</v>
      </c>
      <c r="B163">
        <v>8.4</v>
      </c>
    </row>
    <row r="164" spans="1:4" x14ac:dyDescent="0.25">
      <c r="A164" s="6">
        <v>45706</v>
      </c>
      <c r="B164">
        <v>8.43</v>
      </c>
    </row>
    <row r="165" spans="1:4" x14ac:dyDescent="0.25">
      <c r="A165" s="6">
        <v>45707</v>
      </c>
      <c r="B165">
        <v>8.48</v>
      </c>
    </row>
    <row r="166" spans="1:4" x14ac:dyDescent="0.25">
      <c r="A166" s="6">
        <v>45708</v>
      </c>
      <c r="B166">
        <v>9.3000000000000007</v>
      </c>
      <c r="D166">
        <v>9.3000000000000007</v>
      </c>
    </row>
    <row r="167" spans="1:4" x14ac:dyDescent="0.25">
      <c r="A167" s="6">
        <v>45709</v>
      </c>
      <c r="B167">
        <v>9.17</v>
      </c>
    </row>
    <row r="168" spans="1:4" x14ac:dyDescent="0.25">
      <c r="A168" s="6">
        <v>45712</v>
      </c>
      <c r="B168">
        <v>8.85</v>
      </c>
    </row>
    <row r="169" spans="1:4" x14ac:dyDescent="0.25">
      <c r="A169" s="6">
        <v>45713</v>
      </c>
      <c r="B169">
        <v>8.69</v>
      </c>
    </row>
    <row r="170" spans="1:4" x14ac:dyDescent="0.25">
      <c r="A170" s="6">
        <v>45714</v>
      </c>
      <c r="B170">
        <v>8.86</v>
      </c>
    </row>
    <row r="171" spans="1:4" x14ac:dyDescent="0.25">
      <c r="A171" s="6">
        <v>45715</v>
      </c>
      <c r="B171">
        <v>8.94</v>
      </c>
    </row>
    <row r="172" spans="1:4" x14ac:dyDescent="0.25">
      <c r="A172" s="6">
        <v>45716</v>
      </c>
      <c r="B172">
        <v>8.6999999999999993</v>
      </c>
    </row>
    <row r="173" spans="1:4" x14ac:dyDescent="0.25">
      <c r="A173" s="6">
        <v>45719</v>
      </c>
      <c r="B173">
        <v>8.4499999999999993</v>
      </c>
    </row>
    <row r="174" spans="1:4" x14ac:dyDescent="0.25">
      <c r="A174" s="6">
        <v>45720</v>
      </c>
      <c r="B174">
        <v>8.36</v>
      </c>
    </row>
    <row r="175" spans="1:4" x14ac:dyDescent="0.25">
      <c r="A175" s="6">
        <v>45721</v>
      </c>
      <c r="B175">
        <v>8.4</v>
      </c>
    </row>
    <row r="176" spans="1:4" x14ac:dyDescent="0.25">
      <c r="A176" s="6">
        <v>45722</v>
      </c>
      <c r="B176">
        <v>8.14</v>
      </c>
    </row>
    <row r="177" spans="1:2" x14ac:dyDescent="0.25">
      <c r="A177" s="6">
        <v>45723</v>
      </c>
      <c r="B177">
        <v>7.93</v>
      </c>
    </row>
    <row r="178" spans="1:2" x14ac:dyDescent="0.25">
      <c r="A178" s="6">
        <v>45726</v>
      </c>
      <c r="B178">
        <v>8.02</v>
      </c>
    </row>
    <row r="179" spans="1:2" x14ac:dyDescent="0.25">
      <c r="A179" s="6">
        <v>45727</v>
      </c>
      <c r="B179">
        <v>7.55</v>
      </c>
    </row>
    <row r="180" spans="1:2" x14ac:dyDescent="0.25">
      <c r="A180" s="6">
        <v>45728</v>
      </c>
      <c r="B180">
        <v>7.42</v>
      </c>
    </row>
    <row r="181" spans="1:2" x14ac:dyDescent="0.25">
      <c r="A181" s="6">
        <v>45729</v>
      </c>
      <c r="B181">
        <v>7.4</v>
      </c>
    </row>
    <row r="182" spans="1:2" x14ac:dyDescent="0.25">
      <c r="A182" s="6">
        <v>45730</v>
      </c>
      <c r="B182">
        <v>7.4</v>
      </c>
    </row>
    <row r="183" spans="1:2" x14ac:dyDescent="0.25">
      <c r="A183" s="6">
        <v>45733</v>
      </c>
      <c r="B183">
        <v>7.65</v>
      </c>
    </row>
    <row r="184" spans="1:2" x14ac:dyDescent="0.25">
      <c r="A184" s="6">
        <v>45734</v>
      </c>
      <c r="B184">
        <v>7.9</v>
      </c>
    </row>
    <row r="185" spans="1:2" x14ac:dyDescent="0.25">
      <c r="A185" s="6">
        <v>45735</v>
      </c>
      <c r="B185">
        <v>7.49</v>
      </c>
    </row>
    <row r="186" spans="1:2" x14ac:dyDescent="0.25">
      <c r="A186" s="6">
        <v>45736</v>
      </c>
      <c r="B186">
        <v>7.5</v>
      </c>
    </row>
    <row r="187" spans="1:2" x14ac:dyDescent="0.25">
      <c r="A187" s="6">
        <v>45737</v>
      </c>
      <c r="B187">
        <v>7.53</v>
      </c>
    </row>
    <row r="188" spans="1:2" x14ac:dyDescent="0.25">
      <c r="A188" s="6">
        <v>45740</v>
      </c>
      <c r="B188">
        <v>7.59</v>
      </c>
    </row>
    <row r="189" spans="1:2" x14ac:dyDescent="0.25">
      <c r="A189" s="6">
        <v>45741</v>
      </c>
      <c r="B189">
        <v>7.95</v>
      </c>
    </row>
    <row r="190" spans="1:2" x14ac:dyDescent="0.25">
      <c r="A190" s="6">
        <v>45742</v>
      </c>
      <c r="B190">
        <v>8.0399999999999991</v>
      </c>
    </row>
    <row r="191" spans="1:2" x14ac:dyDescent="0.25">
      <c r="A191" s="6">
        <v>45743</v>
      </c>
      <c r="B191">
        <v>8</v>
      </c>
    </row>
    <row r="192" spans="1:2" x14ac:dyDescent="0.25">
      <c r="A192" s="6">
        <v>45744</v>
      </c>
      <c r="B192">
        <v>8.1199999999999992</v>
      </c>
    </row>
    <row r="193" spans="1:4" x14ac:dyDescent="0.25">
      <c r="A193" s="6">
        <v>45747</v>
      </c>
      <c r="B193">
        <v>7.72</v>
      </c>
    </row>
    <row r="194" spans="1:4" x14ac:dyDescent="0.25">
      <c r="A194" s="6">
        <v>45748</v>
      </c>
      <c r="B194">
        <v>7.46</v>
      </c>
    </row>
    <row r="195" spans="1:4" x14ac:dyDescent="0.25">
      <c r="A195" s="6">
        <v>45749</v>
      </c>
      <c r="B195">
        <v>7.4</v>
      </c>
    </row>
    <row r="196" spans="1:4" x14ac:dyDescent="0.25">
      <c r="A196" s="6">
        <v>45750</v>
      </c>
      <c r="B196">
        <v>7.53</v>
      </c>
    </row>
    <row r="197" spans="1:4" x14ac:dyDescent="0.25">
      <c r="A197" s="6">
        <v>45751</v>
      </c>
      <c r="B197">
        <v>7.2</v>
      </c>
    </row>
    <row r="198" spans="1:4" x14ac:dyDescent="0.25">
      <c r="A198" s="6">
        <v>45754</v>
      </c>
      <c r="B198">
        <v>6.95</v>
      </c>
    </row>
    <row r="199" spans="1:4" x14ac:dyDescent="0.25">
      <c r="A199" s="6">
        <v>45755</v>
      </c>
      <c r="B199">
        <v>6.91</v>
      </c>
    </row>
    <row r="200" spans="1:4" x14ac:dyDescent="0.25">
      <c r="A200" s="6">
        <v>45756</v>
      </c>
      <c r="B200">
        <v>6.86</v>
      </c>
      <c r="C200">
        <v>6.86</v>
      </c>
    </row>
    <row r="201" spans="1:4" x14ac:dyDescent="0.25">
      <c r="A201" s="6">
        <v>45757</v>
      </c>
      <c r="B201">
        <v>7.45</v>
      </c>
      <c r="D201">
        <v>7.45</v>
      </c>
    </row>
    <row r="202" spans="1:4" x14ac:dyDescent="0.25">
      <c r="A202" s="6">
        <v>45758</v>
      </c>
      <c r="B202">
        <v>7.2</v>
      </c>
    </row>
    <row r="203" spans="1:4" x14ac:dyDescent="0.25">
      <c r="A203" s="6">
        <v>45761</v>
      </c>
      <c r="B203">
        <v>7.34</v>
      </c>
    </row>
    <row r="204" spans="1:4" x14ac:dyDescent="0.25">
      <c r="A204" s="6">
        <v>45762</v>
      </c>
      <c r="B204">
        <v>7.46</v>
      </c>
    </row>
    <row r="205" spans="1:4" x14ac:dyDescent="0.25">
      <c r="A205" s="6">
        <v>45763</v>
      </c>
      <c r="B205">
        <v>7.5</v>
      </c>
    </row>
    <row r="206" spans="1:4" x14ac:dyDescent="0.25">
      <c r="A206" s="6">
        <v>45764</v>
      </c>
      <c r="B206">
        <v>7.45</v>
      </c>
    </row>
    <row r="207" spans="1:4" x14ac:dyDescent="0.25">
      <c r="A207" s="6">
        <v>45769</v>
      </c>
      <c r="B207">
        <v>7.34</v>
      </c>
    </row>
    <row r="208" spans="1:4" x14ac:dyDescent="0.25">
      <c r="A208" s="6">
        <v>45770</v>
      </c>
      <c r="B208">
        <v>7.76</v>
      </c>
    </row>
    <row r="209" spans="1:4" x14ac:dyDescent="0.25">
      <c r="A209" s="6">
        <v>45771</v>
      </c>
      <c r="B209">
        <v>7.65</v>
      </c>
    </row>
    <row r="210" spans="1:4" x14ac:dyDescent="0.25">
      <c r="A210" s="6">
        <v>45775</v>
      </c>
      <c r="B210">
        <v>7.65</v>
      </c>
    </row>
    <row r="211" spans="1:4" x14ac:dyDescent="0.25">
      <c r="A211" s="6">
        <v>45776</v>
      </c>
      <c r="B211">
        <v>7.87</v>
      </c>
    </row>
    <row r="212" spans="1:4" x14ac:dyDescent="0.25">
      <c r="A212" s="6">
        <v>45777</v>
      </c>
      <c r="B212">
        <v>7.74</v>
      </c>
    </row>
    <row r="213" spans="1:4" x14ac:dyDescent="0.25">
      <c r="A213" s="6">
        <v>45778</v>
      </c>
      <c r="B213">
        <v>7.65</v>
      </c>
    </row>
    <row r="214" spans="1:4" x14ac:dyDescent="0.25">
      <c r="A214" s="6">
        <v>45779</v>
      </c>
      <c r="B214">
        <v>7.81</v>
      </c>
    </row>
    <row r="215" spans="1:4" x14ac:dyDescent="0.25">
      <c r="A215" s="6">
        <v>45782</v>
      </c>
      <c r="B215">
        <v>7.67</v>
      </c>
      <c r="C215">
        <v>7.67</v>
      </c>
    </row>
    <row r="216" spans="1:4" x14ac:dyDescent="0.25">
      <c r="A216" s="6">
        <v>45783</v>
      </c>
      <c r="B216">
        <v>7.79</v>
      </c>
    </row>
    <row r="217" spans="1:4" x14ac:dyDescent="0.25">
      <c r="A217" s="6">
        <v>45784</v>
      </c>
      <c r="B217">
        <v>7.86</v>
      </c>
    </row>
    <row r="218" spans="1:4" x14ac:dyDescent="0.25">
      <c r="A218" s="6">
        <v>45785</v>
      </c>
      <c r="B218">
        <v>7.9</v>
      </c>
    </row>
    <row r="219" spans="1:4" x14ac:dyDescent="0.25">
      <c r="A219" s="6">
        <v>45786</v>
      </c>
      <c r="B219">
        <v>7.94</v>
      </c>
    </row>
    <row r="220" spans="1:4" x14ac:dyDescent="0.25">
      <c r="A220" s="6">
        <v>45789</v>
      </c>
      <c r="B220">
        <v>8.17</v>
      </c>
    </row>
    <row r="221" spans="1:4" x14ac:dyDescent="0.25">
      <c r="A221" s="6">
        <v>45790</v>
      </c>
      <c r="B221">
        <v>8.64</v>
      </c>
      <c r="D221">
        <v>8.64</v>
      </c>
    </row>
    <row r="222" spans="1:4" x14ac:dyDescent="0.25">
      <c r="A222" s="6">
        <v>45791</v>
      </c>
      <c r="B222">
        <v>8.2899999999999991</v>
      </c>
    </row>
    <row r="223" spans="1:4" x14ac:dyDescent="0.25">
      <c r="A223" s="6">
        <v>45792</v>
      </c>
      <c r="B223">
        <v>8.4</v>
      </c>
    </row>
    <row r="224" spans="1:4" x14ac:dyDescent="0.25">
      <c r="A224" s="6">
        <v>45793</v>
      </c>
      <c r="B224">
        <v>8.35</v>
      </c>
    </row>
    <row r="225" spans="1:4" x14ac:dyDescent="0.25">
      <c r="A225" s="6">
        <v>45796</v>
      </c>
      <c r="B225">
        <v>8.16</v>
      </c>
    </row>
    <row r="226" spans="1:4" x14ac:dyDescent="0.25">
      <c r="A226" s="6">
        <v>45797</v>
      </c>
      <c r="B226">
        <v>8.18</v>
      </c>
    </row>
    <row r="227" spans="1:4" x14ac:dyDescent="0.25">
      <c r="A227" s="6">
        <v>45798</v>
      </c>
      <c r="B227">
        <v>7.71</v>
      </c>
    </row>
    <row r="228" spans="1:4" x14ac:dyDescent="0.25">
      <c r="A228" s="6">
        <v>45799</v>
      </c>
      <c r="B228">
        <v>7.61</v>
      </c>
    </row>
    <row r="229" spans="1:4" x14ac:dyDescent="0.25">
      <c r="A229" s="6">
        <v>45800</v>
      </c>
      <c r="B229">
        <v>7.65</v>
      </c>
    </row>
    <row r="230" spans="1:4" x14ac:dyDescent="0.25">
      <c r="A230" s="6">
        <v>45803</v>
      </c>
      <c r="B230">
        <v>7.42</v>
      </c>
    </row>
    <row r="231" spans="1:4" x14ac:dyDescent="0.25">
      <c r="A231" s="6">
        <v>45804</v>
      </c>
      <c r="B231">
        <v>7.28</v>
      </c>
      <c r="C231">
        <v>7.28</v>
      </c>
    </row>
    <row r="232" spans="1:4" x14ac:dyDescent="0.25">
      <c r="A232" s="6">
        <v>45805</v>
      </c>
      <c r="B232">
        <v>7.49</v>
      </c>
    </row>
    <row r="233" spans="1:4" x14ac:dyDescent="0.25">
      <c r="A233" s="6">
        <v>45806</v>
      </c>
      <c r="B233">
        <v>7.51</v>
      </c>
    </row>
    <row r="234" spans="1:4" x14ac:dyDescent="0.25">
      <c r="A234" s="6">
        <v>45807</v>
      </c>
      <c r="B234">
        <v>7.77</v>
      </c>
      <c r="D234">
        <v>7.77</v>
      </c>
    </row>
    <row r="235" spans="1:4" x14ac:dyDescent="0.25">
      <c r="A235" s="6">
        <v>45810</v>
      </c>
      <c r="B235">
        <v>7.58</v>
      </c>
    </row>
    <row r="236" spans="1:4" x14ac:dyDescent="0.25">
      <c r="A236" s="6">
        <v>45811</v>
      </c>
      <c r="B236">
        <v>7.6</v>
      </c>
    </row>
    <row r="237" spans="1:4" x14ac:dyDescent="0.25">
      <c r="A237" s="6">
        <v>45812</v>
      </c>
      <c r="B237">
        <v>7.88</v>
      </c>
    </row>
    <row r="238" spans="1:4" x14ac:dyDescent="0.25">
      <c r="A238" s="6">
        <v>45813</v>
      </c>
      <c r="B238">
        <v>7.85</v>
      </c>
    </row>
    <row r="239" spans="1:4" x14ac:dyDescent="0.25">
      <c r="A239" s="6">
        <v>45814</v>
      </c>
      <c r="B239">
        <v>7.85</v>
      </c>
    </row>
    <row r="240" spans="1:4" x14ac:dyDescent="0.25">
      <c r="A240" s="6">
        <v>45818</v>
      </c>
      <c r="B240">
        <v>7.84</v>
      </c>
    </row>
    <row r="241" spans="1:4" x14ac:dyDescent="0.25">
      <c r="A241" s="6">
        <v>45819</v>
      </c>
      <c r="B241">
        <v>7.76</v>
      </c>
    </row>
    <row r="242" spans="1:4" x14ac:dyDescent="0.25">
      <c r="A242" s="6">
        <v>45820</v>
      </c>
      <c r="B242">
        <v>7.58</v>
      </c>
    </row>
    <row r="243" spans="1:4" x14ac:dyDescent="0.25">
      <c r="A243" s="6">
        <v>45821</v>
      </c>
      <c r="B243">
        <v>7.4</v>
      </c>
    </row>
    <row r="244" spans="1:4" x14ac:dyDescent="0.25">
      <c r="A244" s="6">
        <v>45824</v>
      </c>
      <c r="B244">
        <v>7.46</v>
      </c>
    </row>
    <row r="245" spans="1:4" x14ac:dyDescent="0.25">
      <c r="A245" s="6">
        <v>45825</v>
      </c>
      <c r="B245">
        <v>7.78</v>
      </c>
    </row>
    <row r="246" spans="1:4" x14ac:dyDescent="0.25">
      <c r="A246" s="6">
        <v>45826</v>
      </c>
      <c r="B246">
        <v>7.59</v>
      </c>
    </row>
    <row r="247" spans="1:4" x14ac:dyDescent="0.25">
      <c r="A247" s="6">
        <v>45827</v>
      </c>
      <c r="B247">
        <v>7.43</v>
      </c>
    </row>
    <row r="248" spans="1:4" x14ac:dyDescent="0.25">
      <c r="A248" s="6">
        <v>45828</v>
      </c>
      <c r="B248">
        <v>7.38</v>
      </c>
    </row>
    <row r="249" spans="1:4" x14ac:dyDescent="0.25">
      <c r="A249" s="6">
        <v>45831</v>
      </c>
      <c r="B249">
        <v>7.36</v>
      </c>
    </row>
    <row r="250" spans="1:4" x14ac:dyDescent="0.25">
      <c r="A250" s="6">
        <v>45832</v>
      </c>
      <c r="B250">
        <v>7.27</v>
      </c>
      <c r="C250">
        <v>7.27</v>
      </c>
    </row>
    <row r="251" spans="1:4" x14ac:dyDescent="0.25">
      <c r="A251" s="6">
        <v>45833</v>
      </c>
      <c r="B251">
        <v>7.35</v>
      </c>
    </row>
    <row r="252" spans="1:4" x14ac:dyDescent="0.25">
      <c r="A252" s="6">
        <v>45834</v>
      </c>
      <c r="B252">
        <v>7.44</v>
      </c>
    </row>
    <row r="253" spans="1:4" x14ac:dyDescent="0.25">
      <c r="A253" s="6">
        <v>45835</v>
      </c>
      <c r="B253">
        <v>7.61</v>
      </c>
    </row>
    <row r="254" spans="1:4" x14ac:dyDescent="0.25">
      <c r="A254" s="6">
        <v>45838</v>
      </c>
      <c r="B254">
        <v>7.78</v>
      </c>
      <c r="D254">
        <v>7.78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Price History</vt:lpstr>
      <vt:lpstr>Close vs Volume</vt:lpstr>
      <vt:lpstr>Stock Chart</vt:lpstr>
      <vt:lpstr>Capital Vs Share Price</vt:lpstr>
      <vt:lpstr>PE</vt:lpstr>
      <vt:lpstr>Dividend Yield</vt:lpstr>
      <vt:lpstr>Yearly Portfolio</vt:lpstr>
      <vt:lpstr>SIngle Trade</vt:lpstr>
      <vt:lpstr>Multiple Trade</vt:lpstr>
    </vt:vector>
  </TitlesOfParts>
  <Company>Morningstar Research (Thailand)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Sworaj Shakya</cp:lastModifiedBy>
  <dcterms:created xsi:type="dcterms:W3CDTF">2025-08-15T01:24:42Z</dcterms:created>
  <dcterms:modified xsi:type="dcterms:W3CDTF">2025-08-27T10:17:41Z</dcterms:modified>
</cp:coreProperties>
</file>